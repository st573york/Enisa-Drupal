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et/teams/kit/index/Shared Documents/Presentations &amp; statutory meetings/NLO meeting Q4-2023/Documents for MS/"/>
    </mc:Choice>
  </mc:AlternateContent>
  <xr:revisionPtr revIDLastSave="61" documentId="13_ncr:1_{CE1526FA-DCCB-4A27-9555-328DBE617F7A}" xr6:coauthVersionLast="47" xr6:coauthVersionMax="47" xr10:uidLastSave="{F9C6DCAD-C987-4006-84FC-EEB15F7D0A89}"/>
  <workbookProtection workbookAlgorithmName="SHA-512" workbookHashValue="8iQwBXmAER8DWPr+oGbxaQIwvEqkt2E2ZNzBKfCT/427InF7H1LCPLYgukZJplI9qVAB4ReJf0ftfrNdUzOALA==" workbookSaltValue="DAzCr53usv1a9TO/3xVvUQ==" workbookSpinCount="100000" lockStructure="1"/>
  <bookViews>
    <workbookView xWindow="-120" yWindow="-16320" windowWidth="29040" windowHeight="15720" xr2:uid="{00000000-000D-0000-FFFF-FFFF00000000}"/>
  </bookViews>
  <sheets>
    <sheet name="Info" sheetId="1" r:id="rId1"/>
    <sheet name="General Info" sheetId="2" r:id="rId2"/>
    <sheet name="10" sheetId="23" r:id="rId3"/>
    <sheet name="12" sheetId="12" r:id="rId4"/>
    <sheet name="38" sheetId="18" r:id="rId5"/>
    <sheet name="38-ranges" sheetId="19" state="hidden" r:id="rId6"/>
    <sheet name="39" sheetId="25" r:id="rId7"/>
    <sheet name="40" sheetId="26" r:id="rId8"/>
    <sheet name="41" sheetId="27" r:id="rId9"/>
    <sheet name="41-ranges" sheetId="49" state="hidden" r:id="rId10"/>
    <sheet name="42" sheetId="28" r:id="rId11"/>
    <sheet name="43" sheetId="29" r:id="rId12"/>
    <sheet name="43-ranges" sheetId="48" state="hidden" r:id="rId13"/>
    <sheet name="44" sheetId="16" r:id="rId14"/>
    <sheet name="46" sheetId="20" r:id="rId15"/>
    <sheet name="46-ranges" sheetId="21" state="hidden" r:id="rId16"/>
    <sheet name="44-range" sheetId="17" state="hidden" r:id="rId17"/>
    <sheet name="53" sheetId="30" r:id="rId18"/>
    <sheet name="53-ranges" sheetId="52" state="hidden" r:id="rId19"/>
    <sheet name="54" sheetId="10" r:id="rId20"/>
    <sheet name="54-ranges" sheetId="11" state="hidden" r:id="rId21"/>
    <sheet name="55" sheetId="31" r:id="rId22"/>
    <sheet name="56" sheetId="32" r:id="rId23"/>
    <sheet name="58" sheetId="34" r:id="rId24"/>
    <sheet name="59" sheetId="35" r:id="rId25"/>
    <sheet name="60" sheetId="44" r:id="rId26"/>
    <sheet name="63" sheetId="46" r:id="rId27"/>
    <sheet name="63-ranges" sheetId="51" state="hidden" r:id="rId28"/>
    <sheet name="65" sheetId="36" r:id="rId29"/>
    <sheet name="66" sheetId="37" r:id="rId30"/>
    <sheet name="67" sheetId="38" r:id="rId31"/>
    <sheet name="68" sheetId="40" r:id="rId32"/>
    <sheet name="69" sheetId="42" r:id="rId33"/>
    <sheet name="60-ranges" sheetId="45" state="hidden" r:id="rId34"/>
    <sheet name="69-ranges" sheetId="43" state="hidden" r:id="rId35"/>
    <sheet name="68-ranges" sheetId="41" state="hidden" r:id="rId36"/>
    <sheet name="70" sheetId="47" r:id="rId37"/>
    <sheet name="all" sheetId="5" state="hidden" r:id="rId38"/>
  </sheets>
  <definedNames>
    <definedName name="_xlnm._FilterDatabase" localSheetId="37" hidden="1">all!$A$1:$N$698</definedName>
    <definedName name="_xlnm._FilterDatabase" localSheetId="1" hidden="1">'General Info'!$A$1:$G$1</definedName>
    <definedName name="Choices">#REF!</definedName>
    <definedName name="Choices2">#REF!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28" l="1"/>
  <c r="E267" i="5"/>
  <c r="E266" i="5"/>
  <c r="E265" i="5"/>
  <c r="E264" i="5"/>
  <c r="E263" i="5"/>
  <c r="E157" i="5"/>
  <c r="E149" i="5"/>
  <c r="E138" i="5"/>
  <c r="E125" i="5"/>
  <c r="E118" i="5"/>
  <c r="E106" i="5"/>
  <c r="E95" i="5"/>
  <c r="E23" i="5"/>
  <c r="E24" i="5"/>
  <c r="E25" i="5"/>
  <c r="E26" i="5"/>
  <c r="E27" i="5"/>
  <c r="E28" i="5"/>
  <c r="E20" i="5"/>
  <c r="E262" i="5"/>
  <c r="E64" i="5"/>
  <c r="E63" i="5"/>
  <c r="E62" i="5"/>
  <c r="E61" i="5"/>
  <c r="N55" i="5"/>
  <c r="N54" i="5"/>
  <c r="N53" i="5"/>
  <c r="N52" i="5"/>
  <c r="M55" i="5"/>
  <c r="M54" i="5"/>
  <c r="M53" i="5"/>
  <c r="M52" i="5"/>
  <c r="L55" i="5"/>
  <c r="L54" i="5"/>
  <c r="L53" i="5"/>
  <c r="L52" i="5"/>
  <c r="E55" i="5"/>
  <c r="E54" i="5"/>
  <c r="E53" i="5"/>
  <c r="E52" i="5"/>
  <c r="E195" i="5"/>
  <c r="E194" i="5"/>
  <c r="E193" i="5"/>
  <c r="E192" i="5"/>
  <c r="E191" i="5"/>
  <c r="N136" i="5"/>
  <c r="N135" i="5"/>
  <c r="N134" i="5"/>
  <c r="N133" i="5"/>
  <c r="N132" i="5"/>
  <c r="M139" i="5"/>
  <c r="M138" i="5"/>
  <c r="M137" i="5"/>
  <c r="M136" i="5"/>
  <c r="M135" i="5"/>
  <c r="M134" i="5"/>
  <c r="M133" i="5"/>
  <c r="M132" i="5"/>
  <c r="L138" i="5"/>
  <c r="L137" i="5"/>
  <c r="L136" i="5"/>
  <c r="L135" i="5"/>
  <c r="L134" i="5"/>
  <c r="L133" i="5"/>
  <c r="L132" i="5"/>
  <c r="E136" i="5"/>
  <c r="E135" i="5"/>
  <c r="E134" i="5"/>
  <c r="E133" i="5"/>
  <c r="E132" i="5"/>
  <c r="E188" i="5"/>
  <c r="N188" i="5"/>
  <c r="M188" i="5"/>
  <c r="L188" i="5"/>
  <c r="E181" i="5"/>
  <c r="E182" i="5"/>
  <c r="N182" i="5"/>
  <c r="M182" i="5"/>
  <c r="L182" i="5"/>
  <c r="N181" i="5"/>
  <c r="M181" i="5"/>
  <c r="L181" i="5"/>
  <c r="N138" i="5"/>
  <c r="N698" i="5"/>
  <c r="M698" i="5"/>
  <c r="L698" i="5"/>
  <c r="N267" i="5"/>
  <c r="N266" i="5"/>
  <c r="N265" i="5"/>
  <c r="N264" i="5"/>
  <c r="N263" i="5"/>
  <c r="N262" i="5"/>
  <c r="M267" i="5"/>
  <c r="L267" i="5"/>
  <c r="M266" i="5"/>
  <c r="L266" i="5"/>
  <c r="M265" i="5"/>
  <c r="L265" i="5"/>
  <c r="M264" i="5"/>
  <c r="L264" i="5"/>
  <c r="M263" i="5"/>
  <c r="L263" i="5"/>
  <c r="M262" i="5"/>
  <c r="L262" i="5"/>
  <c r="N261" i="5"/>
  <c r="M261" i="5"/>
  <c r="L261" i="5"/>
  <c r="N118" i="5"/>
  <c r="M118" i="5"/>
  <c r="L118" i="5"/>
  <c r="N125" i="5"/>
  <c r="M125" i="5"/>
  <c r="L125" i="5"/>
  <c r="N106" i="5"/>
  <c r="M106" i="5"/>
  <c r="L106" i="5"/>
  <c r="N95" i="5"/>
  <c r="M95" i="5"/>
  <c r="L95" i="5"/>
  <c r="N27" i="5"/>
  <c r="M27" i="5"/>
  <c r="L27" i="5"/>
  <c r="N20" i="5"/>
  <c r="M20" i="5"/>
  <c r="L20" i="5"/>
  <c r="M9" i="5"/>
  <c r="E307" i="5"/>
  <c r="E295" i="5"/>
  <c r="E294" i="5"/>
  <c r="E293" i="5"/>
  <c r="E164" i="5"/>
  <c r="E163" i="5"/>
  <c r="E162" i="5"/>
  <c r="E161" i="5"/>
  <c r="E156" i="5"/>
  <c r="E155" i="5"/>
  <c r="E154" i="5"/>
  <c r="E152" i="5"/>
  <c r="E151" i="5"/>
  <c r="E150" i="5"/>
  <c r="E159" i="5"/>
  <c r="B6" i="38"/>
  <c r="E301" i="5" s="1"/>
  <c r="E697" i="5"/>
  <c r="E696" i="5"/>
  <c r="E695" i="5"/>
  <c r="E694" i="5"/>
  <c r="E693" i="5"/>
  <c r="E692" i="5"/>
  <c r="E690" i="5"/>
  <c r="E689" i="5"/>
  <c r="E688" i="5"/>
  <c r="E687" i="5"/>
  <c r="E686" i="5"/>
  <c r="E684" i="5"/>
  <c r="E683" i="5"/>
  <c r="E682" i="5"/>
  <c r="E681" i="5"/>
  <c r="E680" i="5"/>
  <c r="E678" i="5"/>
  <c r="E677" i="5"/>
  <c r="E676" i="5"/>
  <c r="E675" i="5"/>
  <c r="E674" i="5"/>
  <c r="E673" i="5"/>
  <c r="E671" i="5"/>
  <c r="E670" i="5"/>
  <c r="E669" i="5"/>
  <c r="E668" i="5"/>
  <c r="E667" i="5"/>
  <c r="E665" i="5"/>
  <c r="E664" i="5"/>
  <c r="E663" i="5"/>
  <c r="E662" i="5"/>
  <c r="E661" i="5"/>
  <c r="E659" i="5"/>
  <c r="E658" i="5"/>
  <c r="E657" i="5"/>
  <c r="E656" i="5"/>
  <c r="E655" i="5"/>
  <c r="E654" i="5"/>
  <c r="E652" i="5"/>
  <c r="E651" i="5"/>
  <c r="E650" i="5"/>
  <c r="E649" i="5"/>
  <c r="E648" i="5"/>
  <c r="E646" i="5"/>
  <c r="E645" i="5"/>
  <c r="E644" i="5"/>
  <c r="E643" i="5"/>
  <c r="E642" i="5"/>
  <c r="E640" i="5"/>
  <c r="E639" i="5"/>
  <c r="E638" i="5"/>
  <c r="E637" i="5"/>
  <c r="E636" i="5"/>
  <c r="E635" i="5"/>
  <c r="E633" i="5"/>
  <c r="E632" i="5"/>
  <c r="E631" i="5"/>
  <c r="E630" i="5"/>
  <c r="E629" i="5"/>
  <c r="E627" i="5"/>
  <c r="E626" i="5"/>
  <c r="E625" i="5"/>
  <c r="E624" i="5"/>
  <c r="E623" i="5"/>
  <c r="E621" i="5"/>
  <c r="E620" i="5"/>
  <c r="E619" i="5"/>
  <c r="E618" i="5"/>
  <c r="E617" i="5"/>
  <c r="E616" i="5"/>
  <c r="E614" i="5"/>
  <c r="E613" i="5"/>
  <c r="E612" i="5"/>
  <c r="E611" i="5"/>
  <c r="E610" i="5"/>
  <c r="E608" i="5"/>
  <c r="E607" i="5"/>
  <c r="E606" i="5"/>
  <c r="E605" i="5"/>
  <c r="E604" i="5"/>
  <c r="E602" i="5"/>
  <c r="E601" i="5"/>
  <c r="E600" i="5"/>
  <c r="E599" i="5"/>
  <c r="E598" i="5"/>
  <c r="E597" i="5"/>
  <c r="E595" i="5"/>
  <c r="E594" i="5"/>
  <c r="E593" i="5"/>
  <c r="E592" i="5"/>
  <c r="E591" i="5"/>
  <c r="E589" i="5"/>
  <c r="E588" i="5"/>
  <c r="E587" i="5"/>
  <c r="E586" i="5"/>
  <c r="E585" i="5"/>
  <c r="E583" i="5"/>
  <c r="E582" i="5"/>
  <c r="E581" i="5"/>
  <c r="E580" i="5"/>
  <c r="E579" i="5"/>
  <c r="E578" i="5"/>
  <c r="E576" i="5"/>
  <c r="E575" i="5"/>
  <c r="E574" i="5"/>
  <c r="E573" i="5"/>
  <c r="E572" i="5"/>
  <c r="E570" i="5"/>
  <c r="E569" i="5"/>
  <c r="E568" i="5"/>
  <c r="E567" i="5"/>
  <c r="E566" i="5"/>
  <c r="E564" i="5"/>
  <c r="E563" i="5"/>
  <c r="E562" i="5"/>
  <c r="E561" i="5"/>
  <c r="E560" i="5"/>
  <c r="E559" i="5"/>
  <c r="E557" i="5"/>
  <c r="E556" i="5"/>
  <c r="E555" i="5"/>
  <c r="E554" i="5"/>
  <c r="E553" i="5"/>
  <c r="E551" i="5"/>
  <c r="E550" i="5"/>
  <c r="E549" i="5"/>
  <c r="E548" i="5"/>
  <c r="E547" i="5"/>
  <c r="E545" i="5"/>
  <c r="E544" i="5"/>
  <c r="E543" i="5"/>
  <c r="E542" i="5"/>
  <c r="E541" i="5"/>
  <c r="E540" i="5"/>
  <c r="E538" i="5"/>
  <c r="E537" i="5"/>
  <c r="E536" i="5"/>
  <c r="E535" i="5"/>
  <c r="E534" i="5"/>
  <c r="E532" i="5"/>
  <c r="E531" i="5"/>
  <c r="E530" i="5"/>
  <c r="E529" i="5"/>
  <c r="E528" i="5"/>
  <c r="E526" i="5"/>
  <c r="E525" i="5"/>
  <c r="E524" i="5"/>
  <c r="E523" i="5"/>
  <c r="E522" i="5"/>
  <c r="E521" i="5"/>
  <c r="E519" i="5"/>
  <c r="E518" i="5"/>
  <c r="E517" i="5"/>
  <c r="E516" i="5"/>
  <c r="E515" i="5"/>
  <c r="E513" i="5"/>
  <c r="E512" i="5"/>
  <c r="E511" i="5"/>
  <c r="E510" i="5"/>
  <c r="E509" i="5"/>
  <c r="E507" i="5"/>
  <c r="E506" i="5"/>
  <c r="E505" i="5"/>
  <c r="E504" i="5"/>
  <c r="E503" i="5"/>
  <c r="E502" i="5"/>
  <c r="E500" i="5"/>
  <c r="E499" i="5"/>
  <c r="E498" i="5"/>
  <c r="E497" i="5"/>
  <c r="E496" i="5"/>
  <c r="E494" i="5"/>
  <c r="E493" i="5"/>
  <c r="E492" i="5"/>
  <c r="E491" i="5"/>
  <c r="E490" i="5"/>
  <c r="E488" i="5"/>
  <c r="E487" i="5"/>
  <c r="E486" i="5"/>
  <c r="E485" i="5"/>
  <c r="E484" i="5"/>
  <c r="E483" i="5"/>
  <c r="E481" i="5"/>
  <c r="E480" i="5"/>
  <c r="E479" i="5"/>
  <c r="E478" i="5"/>
  <c r="E477" i="5"/>
  <c r="E475" i="5"/>
  <c r="E474" i="5"/>
  <c r="E473" i="5"/>
  <c r="E472" i="5"/>
  <c r="E471" i="5"/>
  <c r="E469" i="5"/>
  <c r="E468" i="5"/>
  <c r="E467" i="5"/>
  <c r="E466" i="5"/>
  <c r="E465" i="5"/>
  <c r="E464" i="5"/>
  <c r="E462" i="5"/>
  <c r="E461" i="5"/>
  <c r="E460" i="5"/>
  <c r="E459" i="5"/>
  <c r="E458" i="5"/>
  <c r="E456" i="5"/>
  <c r="E455" i="5"/>
  <c r="E454" i="5"/>
  <c r="E453" i="5"/>
  <c r="E452" i="5"/>
  <c r="E450" i="5"/>
  <c r="E449" i="5"/>
  <c r="E448" i="5"/>
  <c r="E447" i="5"/>
  <c r="E446" i="5"/>
  <c r="E445" i="5"/>
  <c r="E443" i="5"/>
  <c r="E442" i="5"/>
  <c r="E441" i="5"/>
  <c r="E440" i="5"/>
  <c r="E439" i="5"/>
  <c r="E437" i="5"/>
  <c r="E436" i="5"/>
  <c r="E435" i="5"/>
  <c r="E434" i="5"/>
  <c r="E433" i="5"/>
  <c r="E431" i="5"/>
  <c r="E430" i="5"/>
  <c r="E429" i="5"/>
  <c r="E428" i="5"/>
  <c r="E427" i="5"/>
  <c r="E426" i="5"/>
  <c r="E424" i="5"/>
  <c r="E423" i="5"/>
  <c r="E422" i="5"/>
  <c r="E421" i="5"/>
  <c r="E420" i="5"/>
  <c r="E418" i="5"/>
  <c r="E417" i="5"/>
  <c r="E416" i="5"/>
  <c r="E415" i="5"/>
  <c r="E414" i="5"/>
  <c r="E412" i="5"/>
  <c r="E411" i="5"/>
  <c r="E410" i="5"/>
  <c r="E409" i="5"/>
  <c r="E408" i="5"/>
  <c r="E407" i="5"/>
  <c r="E405" i="5"/>
  <c r="E404" i="5"/>
  <c r="E403" i="5"/>
  <c r="E402" i="5"/>
  <c r="E401" i="5"/>
  <c r="E399" i="5"/>
  <c r="E398" i="5"/>
  <c r="E397" i="5"/>
  <c r="E396" i="5"/>
  <c r="E395" i="5"/>
  <c r="E393" i="5"/>
  <c r="E392" i="5"/>
  <c r="E391" i="5"/>
  <c r="E390" i="5"/>
  <c r="E389" i="5"/>
  <c r="E388" i="5"/>
  <c r="E386" i="5"/>
  <c r="E385" i="5"/>
  <c r="E384" i="5"/>
  <c r="E383" i="5"/>
  <c r="E382" i="5"/>
  <c r="E380" i="5"/>
  <c r="E379" i="5"/>
  <c r="E378" i="5"/>
  <c r="E377" i="5"/>
  <c r="E376" i="5"/>
  <c r="E691" i="5"/>
  <c r="E685" i="5"/>
  <c r="E679" i="5"/>
  <c r="E672" i="5"/>
  <c r="E666" i="5"/>
  <c r="E660" i="5"/>
  <c r="E653" i="5"/>
  <c r="E647" i="5"/>
  <c r="E641" i="5"/>
  <c r="E634" i="5"/>
  <c r="E628" i="5"/>
  <c r="E622" i="5"/>
  <c r="E615" i="5"/>
  <c r="E609" i="5"/>
  <c r="E603" i="5"/>
  <c r="E596" i="5"/>
  <c r="E590" i="5"/>
  <c r="E584" i="5"/>
  <c r="E577" i="5"/>
  <c r="E571" i="5"/>
  <c r="E565" i="5"/>
  <c r="E558" i="5"/>
  <c r="E552" i="5"/>
  <c r="E546" i="5"/>
  <c r="E539" i="5"/>
  <c r="E533" i="5"/>
  <c r="E527" i="5"/>
  <c r="E520" i="5"/>
  <c r="E514" i="5"/>
  <c r="E508" i="5"/>
  <c r="E501" i="5"/>
  <c r="E495" i="5"/>
  <c r="E489" i="5"/>
  <c r="E482" i="5"/>
  <c r="E476" i="5"/>
  <c r="E470" i="5"/>
  <c r="E463" i="5"/>
  <c r="E457" i="5"/>
  <c r="E451" i="5"/>
  <c r="E444" i="5"/>
  <c r="E438" i="5"/>
  <c r="E432" i="5"/>
  <c r="E425" i="5"/>
  <c r="E419" i="5"/>
  <c r="E413" i="5"/>
  <c r="E387" i="5"/>
  <c r="E406" i="5"/>
  <c r="E400" i="5"/>
  <c r="E394" i="5"/>
  <c r="E381" i="5"/>
  <c r="E375"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N678" i="5"/>
  <c r="N679" i="5"/>
  <c r="N680" i="5"/>
  <c r="N681" i="5"/>
  <c r="N682" i="5"/>
  <c r="N683" i="5"/>
  <c r="N684" i="5"/>
  <c r="N685" i="5"/>
  <c r="N686" i="5"/>
  <c r="N687" i="5"/>
  <c r="N688" i="5"/>
  <c r="N689" i="5"/>
  <c r="N690" i="5"/>
  <c r="N691" i="5"/>
  <c r="N692" i="5"/>
  <c r="N693" i="5"/>
  <c r="N694" i="5"/>
  <c r="N695" i="5"/>
  <c r="N696" i="5"/>
  <c r="N697" i="5"/>
  <c r="N388" i="5"/>
  <c r="N389" i="5"/>
  <c r="N390" i="5"/>
  <c r="N391" i="5"/>
  <c r="N392" i="5"/>
  <c r="N393" i="5"/>
  <c r="N387" i="5"/>
  <c r="N382" i="5"/>
  <c r="N383" i="5"/>
  <c r="N384" i="5"/>
  <c r="N385" i="5"/>
  <c r="N386" i="5"/>
  <c r="N381" i="5"/>
  <c r="N376" i="5"/>
  <c r="N377" i="5"/>
  <c r="N378" i="5"/>
  <c r="N379" i="5"/>
  <c r="N380" i="5"/>
  <c r="N375" i="5"/>
  <c r="M697" i="5"/>
  <c r="L697" i="5"/>
  <c r="M696" i="5"/>
  <c r="L696" i="5"/>
  <c r="M695" i="5"/>
  <c r="L695" i="5"/>
  <c r="M694" i="5"/>
  <c r="L694" i="5"/>
  <c r="M693" i="5"/>
  <c r="L693" i="5"/>
  <c r="M692" i="5"/>
  <c r="L692" i="5"/>
  <c r="M691" i="5"/>
  <c r="L691" i="5"/>
  <c r="M690" i="5"/>
  <c r="L690" i="5"/>
  <c r="M689" i="5"/>
  <c r="L689" i="5"/>
  <c r="M688" i="5"/>
  <c r="L688" i="5"/>
  <c r="M687" i="5"/>
  <c r="L687" i="5"/>
  <c r="M686" i="5"/>
  <c r="L686" i="5"/>
  <c r="M685" i="5"/>
  <c r="L685" i="5"/>
  <c r="M684" i="5"/>
  <c r="L684" i="5"/>
  <c r="M683" i="5"/>
  <c r="L683" i="5"/>
  <c r="M682" i="5"/>
  <c r="L682" i="5"/>
  <c r="M681" i="5"/>
  <c r="L681" i="5"/>
  <c r="M680" i="5"/>
  <c r="L680" i="5"/>
  <c r="M679" i="5"/>
  <c r="L679" i="5"/>
  <c r="M678" i="5"/>
  <c r="L678" i="5"/>
  <c r="M677" i="5"/>
  <c r="L677" i="5"/>
  <c r="M676" i="5"/>
  <c r="L676" i="5"/>
  <c r="M675" i="5"/>
  <c r="L675" i="5"/>
  <c r="M674" i="5"/>
  <c r="L674" i="5"/>
  <c r="M673" i="5"/>
  <c r="L673" i="5"/>
  <c r="M672" i="5"/>
  <c r="L672" i="5"/>
  <c r="M671" i="5"/>
  <c r="L671" i="5"/>
  <c r="M670" i="5"/>
  <c r="L670" i="5"/>
  <c r="M669" i="5"/>
  <c r="L669" i="5"/>
  <c r="M668" i="5"/>
  <c r="L668" i="5"/>
  <c r="M667" i="5"/>
  <c r="L667" i="5"/>
  <c r="M666" i="5"/>
  <c r="L666" i="5"/>
  <c r="M665" i="5"/>
  <c r="L665" i="5"/>
  <c r="M664" i="5"/>
  <c r="L664" i="5"/>
  <c r="M663" i="5"/>
  <c r="L663" i="5"/>
  <c r="M662" i="5"/>
  <c r="L662" i="5"/>
  <c r="M661" i="5"/>
  <c r="L661" i="5"/>
  <c r="M660" i="5"/>
  <c r="L660" i="5"/>
  <c r="M659" i="5"/>
  <c r="L659" i="5"/>
  <c r="M658" i="5"/>
  <c r="L658" i="5"/>
  <c r="M657" i="5"/>
  <c r="L657" i="5"/>
  <c r="M656" i="5"/>
  <c r="L656" i="5"/>
  <c r="M655" i="5"/>
  <c r="L655" i="5"/>
  <c r="M654" i="5"/>
  <c r="L654" i="5"/>
  <c r="M653" i="5"/>
  <c r="L653" i="5"/>
  <c r="M652" i="5"/>
  <c r="L652" i="5"/>
  <c r="M651" i="5"/>
  <c r="L651" i="5"/>
  <c r="M650" i="5"/>
  <c r="L650" i="5"/>
  <c r="M649" i="5"/>
  <c r="L649" i="5"/>
  <c r="M648" i="5"/>
  <c r="L648" i="5"/>
  <c r="M647" i="5"/>
  <c r="L647" i="5"/>
  <c r="M646" i="5"/>
  <c r="L646" i="5"/>
  <c r="M645" i="5"/>
  <c r="L645" i="5"/>
  <c r="M644" i="5"/>
  <c r="L644" i="5"/>
  <c r="M643" i="5"/>
  <c r="L643" i="5"/>
  <c r="M642" i="5"/>
  <c r="L642" i="5"/>
  <c r="M641" i="5"/>
  <c r="L641" i="5"/>
  <c r="M640" i="5"/>
  <c r="L640" i="5"/>
  <c r="M639" i="5"/>
  <c r="L639" i="5"/>
  <c r="M638" i="5"/>
  <c r="L638" i="5"/>
  <c r="M637" i="5"/>
  <c r="L637" i="5"/>
  <c r="M636" i="5"/>
  <c r="L636" i="5"/>
  <c r="M635" i="5"/>
  <c r="L635" i="5"/>
  <c r="M634" i="5"/>
  <c r="L634" i="5"/>
  <c r="M633" i="5"/>
  <c r="L633" i="5"/>
  <c r="M632" i="5"/>
  <c r="L632" i="5"/>
  <c r="M631" i="5"/>
  <c r="L631" i="5"/>
  <c r="M630" i="5"/>
  <c r="L630" i="5"/>
  <c r="M629" i="5"/>
  <c r="L629" i="5"/>
  <c r="M628" i="5"/>
  <c r="L628" i="5"/>
  <c r="M627" i="5"/>
  <c r="L627" i="5"/>
  <c r="M626" i="5"/>
  <c r="L626" i="5"/>
  <c r="M625" i="5"/>
  <c r="L625" i="5"/>
  <c r="M624" i="5"/>
  <c r="L624" i="5"/>
  <c r="M623" i="5"/>
  <c r="L623" i="5"/>
  <c r="M622" i="5"/>
  <c r="L622" i="5"/>
  <c r="M621" i="5"/>
  <c r="L621" i="5"/>
  <c r="M620" i="5"/>
  <c r="L620" i="5"/>
  <c r="M619" i="5"/>
  <c r="L619" i="5"/>
  <c r="M618" i="5"/>
  <c r="L618" i="5"/>
  <c r="M617" i="5"/>
  <c r="L617" i="5"/>
  <c r="M616" i="5"/>
  <c r="L616" i="5"/>
  <c r="M615" i="5"/>
  <c r="L615" i="5"/>
  <c r="M614" i="5"/>
  <c r="L614" i="5"/>
  <c r="M613" i="5"/>
  <c r="L613" i="5"/>
  <c r="M612" i="5"/>
  <c r="L612" i="5"/>
  <c r="M611" i="5"/>
  <c r="L611" i="5"/>
  <c r="M610" i="5"/>
  <c r="L610" i="5"/>
  <c r="M609" i="5"/>
  <c r="L609" i="5"/>
  <c r="M608" i="5"/>
  <c r="L608" i="5"/>
  <c r="M607" i="5"/>
  <c r="L607" i="5"/>
  <c r="M606" i="5"/>
  <c r="L606" i="5"/>
  <c r="M605" i="5"/>
  <c r="L605" i="5"/>
  <c r="M604" i="5"/>
  <c r="L604" i="5"/>
  <c r="M603" i="5"/>
  <c r="L603" i="5"/>
  <c r="M602" i="5"/>
  <c r="L602" i="5"/>
  <c r="M601" i="5"/>
  <c r="L601" i="5"/>
  <c r="M600" i="5"/>
  <c r="L600" i="5"/>
  <c r="M599" i="5"/>
  <c r="L599" i="5"/>
  <c r="M598" i="5"/>
  <c r="L598" i="5"/>
  <c r="M597" i="5"/>
  <c r="L597" i="5"/>
  <c r="M596" i="5"/>
  <c r="L596" i="5"/>
  <c r="M595" i="5"/>
  <c r="L595" i="5"/>
  <c r="M594" i="5"/>
  <c r="L594" i="5"/>
  <c r="M593" i="5"/>
  <c r="L593" i="5"/>
  <c r="M592" i="5"/>
  <c r="L592" i="5"/>
  <c r="M591" i="5"/>
  <c r="L591" i="5"/>
  <c r="M590" i="5"/>
  <c r="L590" i="5"/>
  <c r="M589" i="5"/>
  <c r="L589" i="5"/>
  <c r="M588" i="5"/>
  <c r="L588" i="5"/>
  <c r="M587" i="5"/>
  <c r="L587" i="5"/>
  <c r="M586" i="5"/>
  <c r="L586" i="5"/>
  <c r="M585" i="5"/>
  <c r="L585" i="5"/>
  <c r="M584" i="5"/>
  <c r="L584" i="5"/>
  <c r="M583" i="5"/>
  <c r="L583" i="5"/>
  <c r="M582" i="5"/>
  <c r="L582" i="5"/>
  <c r="M581" i="5"/>
  <c r="L581" i="5"/>
  <c r="M580" i="5"/>
  <c r="L580" i="5"/>
  <c r="M579" i="5"/>
  <c r="L579" i="5"/>
  <c r="M578" i="5"/>
  <c r="L578" i="5"/>
  <c r="M577" i="5"/>
  <c r="L577" i="5"/>
  <c r="M576" i="5"/>
  <c r="L576" i="5"/>
  <c r="M575" i="5"/>
  <c r="L575" i="5"/>
  <c r="M574" i="5"/>
  <c r="L574" i="5"/>
  <c r="M573" i="5"/>
  <c r="L573" i="5"/>
  <c r="M572" i="5"/>
  <c r="L572" i="5"/>
  <c r="M571" i="5"/>
  <c r="L571" i="5"/>
  <c r="M570" i="5"/>
  <c r="L570" i="5"/>
  <c r="M569" i="5"/>
  <c r="L569" i="5"/>
  <c r="M568" i="5"/>
  <c r="L568" i="5"/>
  <c r="M567" i="5"/>
  <c r="L567" i="5"/>
  <c r="M566" i="5"/>
  <c r="L566" i="5"/>
  <c r="M565" i="5"/>
  <c r="L565" i="5"/>
  <c r="M564" i="5"/>
  <c r="L564" i="5"/>
  <c r="M563" i="5"/>
  <c r="L563" i="5"/>
  <c r="M562" i="5"/>
  <c r="L562" i="5"/>
  <c r="M561" i="5"/>
  <c r="L561" i="5"/>
  <c r="M560" i="5"/>
  <c r="L560" i="5"/>
  <c r="M559" i="5"/>
  <c r="L559" i="5"/>
  <c r="M558" i="5"/>
  <c r="L558" i="5"/>
  <c r="M557" i="5"/>
  <c r="L557" i="5"/>
  <c r="M556" i="5"/>
  <c r="L556" i="5"/>
  <c r="M555" i="5"/>
  <c r="L555" i="5"/>
  <c r="M554" i="5"/>
  <c r="L554" i="5"/>
  <c r="M553" i="5"/>
  <c r="L553" i="5"/>
  <c r="M552" i="5"/>
  <c r="L552" i="5"/>
  <c r="M551" i="5"/>
  <c r="L551" i="5"/>
  <c r="M550" i="5"/>
  <c r="L550" i="5"/>
  <c r="M549" i="5"/>
  <c r="L549" i="5"/>
  <c r="M548" i="5"/>
  <c r="L548" i="5"/>
  <c r="M547" i="5"/>
  <c r="L547" i="5"/>
  <c r="M546" i="5"/>
  <c r="L546" i="5"/>
  <c r="M545" i="5"/>
  <c r="L545" i="5"/>
  <c r="M544" i="5"/>
  <c r="L544" i="5"/>
  <c r="M543" i="5"/>
  <c r="L543" i="5"/>
  <c r="M542" i="5"/>
  <c r="L542" i="5"/>
  <c r="M541" i="5"/>
  <c r="L541" i="5"/>
  <c r="M540" i="5"/>
  <c r="L540" i="5"/>
  <c r="M539" i="5"/>
  <c r="L539" i="5"/>
  <c r="M538" i="5"/>
  <c r="L538" i="5"/>
  <c r="M537" i="5"/>
  <c r="L537" i="5"/>
  <c r="M536" i="5"/>
  <c r="L536" i="5"/>
  <c r="M535" i="5"/>
  <c r="L535" i="5"/>
  <c r="M534" i="5"/>
  <c r="L534" i="5"/>
  <c r="M533" i="5"/>
  <c r="L533" i="5"/>
  <c r="M532" i="5"/>
  <c r="L532" i="5"/>
  <c r="M531" i="5"/>
  <c r="L531" i="5"/>
  <c r="M530" i="5"/>
  <c r="L530" i="5"/>
  <c r="M529" i="5"/>
  <c r="L529" i="5"/>
  <c r="M528" i="5"/>
  <c r="L528" i="5"/>
  <c r="M527" i="5"/>
  <c r="L527" i="5"/>
  <c r="M526" i="5"/>
  <c r="L526" i="5"/>
  <c r="M525" i="5"/>
  <c r="L525" i="5"/>
  <c r="M524" i="5"/>
  <c r="L524" i="5"/>
  <c r="M523" i="5"/>
  <c r="L523" i="5"/>
  <c r="M522" i="5"/>
  <c r="L522" i="5"/>
  <c r="M521" i="5"/>
  <c r="L521" i="5"/>
  <c r="M520" i="5"/>
  <c r="L520" i="5"/>
  <c r="M519" i="5"/>
  <c r="L519" i="5"/>
  <c r="M518" i="5"/>
  <c r="L518" i="5"/>
  <c r="M517" i="5"/>
  <c r="L517" i="5"/>
  <c r="M516" i="5"/>
  <c r="L516" i="5"/>
  <c r="M515" i="5"/>
  <c r="L515" i="5"/>
  <c r="M514" i="5"/>
  <c r="L514" i="5"/>
  <c r="M513" i="5"/>
  <c r="L513" i="5"/>
  <c r="M512" i="5"/>
  <c r="L512" i="5"/>
  <c r="M511" i="5"/>
  <c r="L511" i="5"/>
  <c r="M510" i="5"/>
  <c r="L510" i="5"/>
  <c r="M509" i="5"/>
  <c r="L509" i="5"/>
  <c r="M508" i="5"/>
  <c r="L508" i="5"/>
  <c r="M507" i="5"/>
  <c r="L507" i="5"/>
  <c r="M506" i="5"/>
  <c r="L506" i="5"/>
  <c r="M505" i="5"/>
  <c r="L505" i="5"/>
  <c r="M504" i="5"/>
  <c r="L504" i="5"/>
  <c r="M503" i="5"/>
  <c r="L503" i="5"/>
  <c r="M502" i="5"/>
  <c r="L502" i="5"/>
  <c r="M501" i="5"/>
  <c r="L501" i="5"/>
  <c r="M500" i="5"/>
  <c r="L500" i="5"/>
  <c r="M499" i="5"/>
  <c r="L499" i="5"/>
  <c r="M498" i="5"/>
  <c r="L498" i="5"/>
  <c r="M497" i="5"/>
  <c r="L497" i="5"/>
  <c r="M496" i="5"/>
  <c r="L496" i="5"/>
  <c r="M495" i="5"/>
  <c r="L495" i="5"/>
  <c r="M494" i="5"/>
  <c r="L494" i="5"/>
  <c r="M493" i="5"/>
  <c r="L493" i="5"/>
  <c r="M492" i="5"/>
  <c r="L492" i="5"/>
  <c r="M491" i="5"/>
  <c r="L491" i="5"/>
  <c r="M490" i="5"/>
  <c r="L490" i="5"/>
  <c r="M489" i="5"/>
  <c r="L489" i="5"/>
  <c r="M488" i="5"/>
  <c r="L488" i="5"/>
  <c r="M487" i="5"/>
  <c r="L487" i="5"/>
  <c r="M486" i="5"/>
  <c r="L486" i="5"/>
  <c r="M485" i="5"/>
  <c r="L485" i="5"/>
  <c r="M484" i="5"/>
  <c r="L484" i="5"/>
  <c r="M483" i="5"/>
  <c r="L483" i="5"/>
  <c r="M482" i="5"/>
  <c r="L482" i="5"/>
  <c r="M481" i="5"/>
  <c r="L481" i="5"/>
  <c r="M480" i="5"/>
  <c r="L480" i="5"/>
  <c r="M479" i="5"/>
  <c r="L479" i="5"/>
  <c r="M478" i="5"/>
  <c r="L478" i="5"/>
  <c r="M477" i="5"/>
  <c r="L477" i="5"/>
  <c r="M476" i="5"/>
  <c r="L476" i="5"/>
  <c r="M475" i="5"/>
  <c r="L475" i="5"/>
  <c r="M474" i="5"/>
  <c r="L474" i="5"/>
  <c r="M473" i="5"/>
  <c r="L473" i="5"/>
  <c r="M472" i="5"/>
  <c r="L472" i="5"/>
  <c r="M471" i="5"/>
  <c r="L471" i="5"/>
  <c r="M470" i="5"/>
  <c r="L470" i="5"/>
  <c r="M469" i="5"/>
  <c r="L469" i="5"/>
  <c r="M468" i="5"/>
  <c r="L468" i="5"/>
  <c r="M467" i="5"/>
  <c r="L467" i="5"/>
  <c r="M466" i="5"/>
  <c r="L466" i="5"/>
  <c r="M465" i="5"/>
  <c r="L465" i="5"/>
  <c r="M464" i="5"/>
  <c r="L464" i="5"/>
  <c r="M463" i="5"/>
  <c r="L463" i="5"/>
  <c r="M462" i="5"/>
  <c r="L462" i="5"/>
  <c r="M461" i="5"/>
  <c r="L461" i="5"/>
  <c r="M460" i="5"/>
  <c r="L460" i="5"/>
  <c r="M459" i="5"/>
  <c r="L459" i="5"/>
  <c r="M458" i="5"/>
  <c r="L458" i="5"/>
  <c r="M457" i="5"/>
  <c r="L457" i="5"/>
  <c r="M456" i="5"/>
  <c r="L456" i="5"/>
  <c r="M455" i="5"/>
  <c r="L455" i="5"/>
  <c r="M454" i="5"/>
  <c r="L454" i="5"/>
  <c r="M453" i="5"/>
  <c r="L453" i="5"/>
  <c r="M452" i="5"/>
  <c r="L452" i="5"/>
  <c r="M451" i="5"/>
  <c r="L451" i="5"/>
  <c r="M450" i="5"/>
  <c r="L450" i="5"/>
  <c r="M449" i="5"/>
  <c r="L449" i="5"/>
  <c r="M448" i="5"/>
  <c r="L448" i="5"/>
  <c r="M447" i="5"/>
  <c r="L447" i="5"/>
  <c r="M446" i="5"/>
  <c r="L446" i="5"/>
  <c r="M445" i="5"/>
  <c r="L445" i="5"/>
  <c r="M444" i="5"/>
  <c r="L444" i="5"/>
  <c r="M443" i="5"/>
  <c r="L443" i="5"/>
  <c r="M442" i="5"/>
  <c r="L442" i="5"/>
  <c r="M441" i="5"/>
  <c r="L441" i="5"/>
  <c r="M440" i="5"/>
  <c r="L440" i="5"/>
  <c r="M439" i="5"/>
  <c r="L439" i="5"/>
  <c r="M438" i="5"/>
  <c r="L438" i="5"/>
  <c r="M437" i="5"/>
  <c r="L437" i="5"/>
  <c r="M436" i="5"/>
  <c r="L436" i="5"/>
  <c r="M435" i="5"/>
  <c r="L435" i="5"/>
  <c r="M434" i="5"/>
  <c r="L434" i="5"/>
  <c r="M433" i="5"/>
  <c r="L433" i="5"/>
  <c r="M432" i="5"/>
  <c r="L432" i="5"/>
  <c r="M431" i="5"/>
  <c r="L431" i="5"/>
  <c r="M430" i="5"/>
  <c r="L430" i="5"/>
  <c r="M429" i="5"/>
  <c r="L429" i="5"/>
  <c r="M428" i="5"/>
  <c r="L428" i="5"/>
  <c r="M427" i="5"/>
  <c r="L427" i="5"/>
  <c r="M426" i="5"/>
  <c r="L426" i="5"/>
  <c r="M425" i="5"/>
  <c r="L425" i="5"/>
  <c r="M424" i="5"/>
  <c r="L424" i="5"/>
  <c r="M423" i="5"/>
  <c r="L423" i="5"/>
  <c r="M422" i="5"/>
  <c r="L422" i="5"/>
  <c r="M421" i="5"/>
  <c r="L421" i="5"/>
  <c r="M420" i="5"/>
  <c r="L420" i="5"/>
  <c r="M419" i="5"/>
  <c r="L419" i="5"/>
  <c r="M418" i="5"/>
  <c r="L418" i="5"/>
  <c r="M417" i="5"/>
  <c r="L417" i="5"/>
  <c r="M416" i="5"/>
  <c r="L416" i="5"/>
  <c r="M415" i="5"/>
  <c r="L415" i="5"/>
  <c r="M414" i="5"/>
  <c r="L414" i="5"/>
  <c r="M413" i="5"/>
  <c r="L413" i="5"/>
  <c r="M412" i="5"/>
  <c r="L412" i="5"/>
  <c r="M411" i="5"/>
  <c r="L411" i="5"/>
  <c r="M410" i="5"/>
  <c r="L410" i="5"/>
  <c r="M409" i="5"/>
  <c r="L409" i="5"/>
  <c r="M408" i="5"/>
  <c r="L408" i="5"/>
  <c r="M407" i="5"/>
  <c r="L407" i="5"/>
  <c r="M406" i="5"/>
  <c r="L406" i="5"/>
  <c r="M405" i="5"/>
  <c r="L405" i="5"/>
  <c r="M404" i="5"/>
  <c r="L404" i="5"/>
  <c r="M403" i="5"/>
  <c r="L403" i="5"/>
  <c r="M402" i="5"/>
  <c r="L402" i="5"/>
  <c r="M401" i="5"/>
  <c r="L401" i="5"/>
  <c r="M400" i="5"/>
  <c r="L400" i="5"/>
  <c r="M399" i="5"/>
  <c r="L399" i="5"/>
  <c r="M398" i="5"/>
  <c r="L398" i="5"/>
  <c r="M397" i="5"/>
  <c r="L397" i="5"/>
  <c r="M396" i="5"/>
  <c r="L396" i="5"/>
  <c r="M395" i="5"/>
  <c r="L395" i="5"/>
  <c r="M394" i="5"/>
  <c r="L394" i="5"/>
  <c r="L376" i="5"/>
  <c r="M376" i="5"/>
  <c r="L377" i="5"/>
  <c r="M377" i="5"/>
  <c r="L378" i="5"/>
  <c r="M378" i="5"/>
  <c r="L379" i="5"/>
  <c r="M379" i="5"/>
  <c r="L380" i="5"/>
  <c r="M380" i="5"/>
  <c r="L381" i="5"/>
  <c r="M381" i="5"/>
  <c r="L382" i="5"/>
  <c r="M382" i="5"/>
  <c r="L383" i="5"/>
  <c r="M383" i="5"/>
  <c r="L384" i="5"/>
  <c r="M384" i="5"/>
  <c r="L385" i="5"/>
  <c r="M385" i="5"/>
  <c r="L386" i="5"/>
  <c r="M386" i="5"/>
  <c r="L387" i="5"/>
  <c r="M387" i="5"/>
  <c r="L388" i="5"/>
  <c r="M388" i="5"/>
  <c r="L389" i="5"/>
  <c r="M389" i="5"/>
  <c r="L390" i="5"/>
  <c r="M390" i="5"/>
  <c r="L391" i="5"/>
  <c r="M391" i="5"/>
  <c r="L392" i="5"/>
  <c r="M392" i="5"/>
  <c r="L393" i="5"/>
  <c r="M393" i="5"/>
  <c r="M375" i="5"/>
  <c r="L375" i="5"/>
  <c r="E302" i="5" l="1"/>
  <c r="E303" i="5"/>
  <c r="E297" i="5"/>
  <c r="E296" i="5"/>
  <c r="E299" i="5"/>
  <c r="E300" i="5"/>
  <c r="E298" i="5"/>
  <c r="E158" i="5"/>
  <c r="E309" i="5"/>
  <c r="E308" i="5"/>
  <c r="E306" i="5"/>
  <c r="E305" i="5"/>
  <c r="E304" i="5"/>
  <c r="E292" i="5"/>
  <c r="E291" i="5"/>
  <c r="E290" i="5"/>
  <c r="E289" i="5"/>
  <c r="E288" i="5"/>
  <c r="E287" i="5"/>
  <c r="E286" i="5"/>
  <c r="E285" i="5"/>
  <c r="E284" i="5"/>
  <c r="E283" i="5"/>
  <c r="E282" i="5"/>
  <c r="E281" i="5"/>
  <c r="E280" i="5"/>
  <c r="E279" i="5"/>
  <c r="E278" i="5"/>
  <c r="E277" i="5"/>
  <c r="E276" i="5"/>
  <c r="E275" i="5"/>
  <c r="E274" i="5"/>
  <c r="E273" i="5"/>
  <c r="E272" i="5"/>
  <c r="E271" i="5"/>
  <c r="E270" i="5"/>
  <c r="E269" i="5"/>
  <c r="E268" i="5"/>
  <c r="E260" i="5"/>
  <c r="E259" i="5"/>
  <c r="E258" i="5"/>
  <c r="E257" i="5"/>
  <c r="E256" i="5"/>
  <c r="E255" i="5"/>
  <c r="E254" i="5"/>
  <c r="E253" i="5"/>
  <c r="E252" i="5"/>
  <c r="E251" i="5"/>
  <c r="E250" i="5"/>
  <c r="E249" i="5"/>
  <c r="E248" i="5"/>
  <c r="E247" i="5"/>
  <c r="E246" i="5"/>
  <c r="E245" i="5"/>
  <c r="E244" i="5"/>
  <c r="E243" i="5"/>
  <c r="E242" i="5"/>
  <c r="E241" i="5"/>
  <c r="E240" i="5"/>
  <c r="E239" i="5"/>
  <c r="E238" i="5"/>
  <c r="E237" i="5"/>
  <c r="E236" i="5"/>
  <c r="E235" i="5"/>
  <c r="E234" i="5"/>
  <c r="E233" i="5"/>
  <c r="E232" i="5"/>
  <c r="E231" i="5"/>
  <c r="E230" i="5"/>
  <c r="E229" i="5"/>
  <c r="E228" i="5"/>
  <c r="E227" i="5"/>
  <c r="E226" i="5"/>
  <c r="E225" i="5"/>
  <c r="E224" i="5"/>
  <c r="E223" i="5"/>
  <c r="E222" i="5"/>
  <c r="E221" i="5"/>
  <c r="E220" i="5"/>
  <c r="E219" i="5"/>
  <c r="E218" i="5"/>
  <c r="E217" i="5"/>
  <c r="E216" i="5"/>
  <c r="E215" i="5"/>
  <c r="E214" i="5"/>
  <c r="E213" i="5"/>
  <c r="E212" i="5"/>
  <c r="E211" i="5"/>
  <c r="E210" i="5"/>
  <c r="E209" i="5"/>
  <c r="E208" i="5"/>
  <c r="E207" i="5"/>
  <c r="E206" i="5"/>
  <c r="E205" i="5"/>
  <c r="E204" i="5"/>
  <c r="E203" i="5"/>
  <c r="E202" i="5"/>
  <c r="E201" i="5"/>
  <c r="E200" i="5"/>
  <c r="E199" i="5"/>
  <c r="E198" i="5"/>
  <c r="E197" i="5"/>
  <c r="E196" i="5"/>
  <c r="E190" i="5"/>
  <c r="E189" i="5"/>
  <c r="E187" i="5"/>
  <c r="E186" i="5"/>
  <c r="E185" i="5"/>
  <c r="E184" i="5"/>
  <c r="E183" i="5"/>
  <c r="E180" i="5"/>
  <c r="E179" i="5"/>
  <c r="E178" i="5"/>
  <c r="E177" i="5"/>
  <c r="E176" i="5"/>
  <c r="E175" i="5"/>
  <c r="E131" i="5"/>
  <c r="E130" i="5"/>
  <c r="E129" i="5"/>
  <c r="E128" i="5"/>
  <c r="E174" i="5"/>
  <c r="E173" i="5"/>
  <c r="E172" i="5"/>
  <c r="E171" i="5"/>
  <c r="E170" i="5"/>
  <c r="E169" i="5"/>
  <c r="E168" i="5"/>
  <c r="E167" i="5"/>
  <c r="E166" i="5"/>
  <c r="E165" i="5"/>
  <c r="E160" i="5"/>
  <c r="E153" i="5"/>
  <c r="E148" i="5"/>
  <c r="E147" i="5"/>
  <c r="E146" i="5"/>
  <c r="E145" i="5"/>
  <c r="E144" i="5"/>
  <c r="E143" i="5"/>
  <c r="E142" i="5"/>
  <c r="E141" i="5"/>
  <c r="E140" i="5"/>
  <c r="E139" i="5"/>
  <c r="E137" i="5"/>
  <c r="E127" i="5"/>
  <c r="E126" i="5"/>
  <c r="E124" i="5"/>
  <c r="E123" i="5"/>
  <c r="E122" i="5"/>
  <c r="E121" i="5"/>
  <c r="E120" i="5"/>
  <c r="E119" i="5"/>
  <c r="E117" i="5"/>
  <c r="E116" i="5"/>
  <c r="E115" i="5"/>
  <c r="E114" i="5"/>
  <c r="E113" i="5"/>
  <c r="E112" i="5"/>
  <c r="E111" i="5"/>
  <c r="E110" i="5"/>
  <c r="E109" i="5"/>
  <c r="E108" i="5"/>
  <c r="E107" i="5"/>
  <c r="E105" i="5"/>
  <c r="E104" i="5"/>
  <c r="E103" i="5"/>
  <c r="E102" i="5"/>
  <c r="E101" i="5"/>
  <c r="E100" i="5"/>
  <c r="E99" i="5"/>
  <c r="E98" i="5"/>
  <c r="E97" i="5"/>
  <c r="E96" i="5"/>
  <c r="E94" i="5"/>
  <c r="E93" i="5"/>
  <c r="E92" i="5"/>
  <c r="E91" i="5"/>
  <c r="E90" i="5"/>
  <c r="E89" i="5"/>
  <c r="E88" i="5"/>
  <c r="E87" i="5"/>
  <c r="E86" i="5"/>
  <c r="E85" i="5"/>
  <c r="E84" i="5"/>
  <c r="N374" i="5"/>
  <c r="M374" i="5"/>
  <c r="L374" i="5"/>
  <c r="N373" i="5"/>
  <c r="M373" i="5"/>
  <c r="L373" i="5"/>
  <c r="N372" i="5"/>
  <c r="M372" i="5"/>
  <c r="L372" i="5"/>
  <c r="N371" i="5"/>
  <c r="M371" i="5"/>
  <c r="L371" i="5"/>
  <c r="N370" i="5"/>
  <c r="M370" i="5"/>
  <c r="L370" i="5"/>
  <c r="E374" i="5"/>
  <c r="E373" i="5"/>
  <c r="E372" i="5"/>
  <c r="E371" i="5"/>
  <c r="E370" i="5"/>
  <c r="N369" i="5"/>
  <c r="M369" i="5"/>
  <c r="L369" i="5"/>
  <c r="E369" i="5"/>
  <c r="N368" i="5"/>
  <c r="M368" i="5"/>
  <c r="L368" i="5"/>
  <c r="N367" i="5"/>
  <c r="M367" i="5"/>
  <c r="L367" i="5"/>
  <c r="N366" i="5"/>
  <c r="M366" i="5"/>
  <c r="L366" i="5"/>
  <c r="N365" i="5"/>
  <c r="M365" i="5"/>
  <c r="L365" i="5"/>
  <c r="E368" i="5"/>
  <c r="E367" i="5"/>
  <c r="E366" i="5"/>
  <c r="E365" i="5"/>
  <c r="N364" i="5"/>
  <c r="E364" i="5"/>
  <c r="M364" i="5"/>
  <c r="L364" i="5"/>
  <c r="N363" i="5"/>
  <c r="M363" i="5"/>
  <c r="L363" i="5"/>
  <c r="N362" i="5"/>
  <c r="M362" i="5"/>
  <c r="L362" i="5"/>
  <c r="N361" i="5"/>
  <c r="M361" i="5"/>
  <c r="L361" i="5"/>
  <c r="N360" i="5"/>
  <c r="M360" i="5"/>
  <c r="L360" i="5"/>
  <c r="E363" i="5"/>
  <c r="E362" i="5"/>
  <c r="E361" i="5"/>
  <c r="E360" i="5"/>
  <c r="N359" i="5"/>
  <c r="E359" i="5"/>
  <c r="M359" i="5"/>
  <c r="L359" i="5"/>
  <c r="N358" i="5"/>
  <c r="M358" i="5"/>
  <c r="L358" i="5"/>
  <c r="N357" i="5"/>
  <c r="M357" i="5"/>
  <c r="L357" i="5"/>
  <c r="N356" i="5"/>
  <c r="M356" i="5"/>
  <c r="L356" i="5"/>
  <c r="N355" i="5"/>
  <c r="M355" i="5"/>
  <c r="L355" i="5"/>
  <c r="E358" i="5"/>
  <c r="E357" i="5"/>
  <c r="E356" i="5"/>
  <c r="E355" i="5"/>
  <c r="N354" i="5"/>
  <c r="E354" i="5"/>
  <c r="M354" i="5"/>
  <c r="L354" i="5"/>
  <c r="N353" i="5"/>
  <c r="M353" i="5"/>
  <c r="L353" i="5"/>
  <c r="N352" i="5"/>
  <c r="M352" i="5"/>
  <c r="L352" i="5"/>
  <c r="N351" i="5"/>
  <c r="M351" i="5"/>
  <c r="L351" i="5"/>
  <c r="N350" i="5"/>
  <c r="M350" i="5"/>
  <c r="L350" i="5"/>
  <c r="E353" i="5"/>
  <c r="E352" i="5"/>
  <c r="E351" i="5"/>
  <c r="E350" i="5"/>
  <c r="N349" i="5"/>
  <c r="E349" i="5"/>
  <c r="M349" i="5"/>
  <c r="L349" i="5"/>
  <c r="N348" i="5"/>
  <c r="M348" i="5"/>
  <c r="L348" i="5"/>
  <c r="N347" i="5"/>
  <c r="M347" i="5"/>
  <c r="L347" i="5"/>
  <c r="N346" i="5"/>
  <c r="M346" i="5"/>
  <c r="L346" i="5"/>
  <c r="N345" i="5"/>
  <c r="M345" i="5"/>
  <c r="L345" i="5"/>
  <c r="E348" i="5"/>
  <c r="E347" i="5"/>
  <c r="E346" i="5"/>
  <c r="E345" i="5"/>
  <c r="N344" i="5"/>
  <c r="E343" i="5"/>
  <c r="E340" i="5"/>
  <c r="E344" i="5"/>
  <c r="M344" i="5"/>
  <c r="L344" i="5"/>
  <c r="N343" i="5"/>
  <c r="M343" i="5"/>
  <c r="L343" i="5"/>
  <c r="N342" i="5"/>
  <c r="M342" i="5"/>
  <c r="L342" i="5"/>
  <c r="N341" i="5"/>
  <c r="M341" i="5"/>
  <c r="L341" i="5"/>
  <c r="N340" i="5"/>
  <c r="M340" i="5"/>
  <c r="L340" i="5"/>
  <c r="E342" i="5"/>
  <c r="E341" i="5"/>
  <c r="N339" i="5"/>
  <c r="M339" i="5"/>
  <c r="L339" i="5"/>
  <c r="E339" i="5"/>
  <c r="N338" i="5"/>
  <c r="M338" i="5"/>
  <c r="L338" i="5"/>
  <c r="N337" i="5"/>
  <c r="M337" i="5"/>
  <c r="L337" i="5"/>
  <c r="N336" i="5"/>
  <c r="M336" i="5"/>
  <c r="L336" i="5"/>
  <c r="N335" i="5"/>
  <c r="M335" i="5"/>
  <c r="L335" i="5"/>
  <c r="E338" i="5"/>
  <c r="E337" i="5"/>
  <c r="E336" i="5"/>
  <c r="E335" i="5"/>
  <c r="N334" i="5"/>
  <c r="E334" i="5"/>
  <c r="M334" i="5"/>
  <c r="L334" i="5"/>
  <c r="N333" i="5"/>
  <c r="M333" i="5"/>
  <c r="L333" i="5"/>
  <c r="N332" i="5"/>
  <c r="M332" i="5"/>
  <c r="L332" i="5"/>
  <c r="N331" i="5"/>
  <c r="M331" i="5"/>
  <c r="L331" i="5"/>
  <c r="E333" i="5"/>
  <c r="E332" i="5"/>
  <c r="E331" i="5"/>
  <c r="N330" i="5"/>
  <c r="E330" i="5"/>
  <c r="M330" i="5"/>
  <c r="L330" i="5"/>
  <c r="N329" i="5"/>
  <c r="M329" i="5"/>
  <c r="L329" i="5"/>
  <c r="N328" i="5"/>
  <c r="M328" i="5"/>
  <c r="L328" i="5"/>
  <c r="N327" i="5"/>
  <c r="M327" i="5"/>
  <c r="L327" i="5"/>
  <c r="N326" i="5"/>
  <c r="M326" i="5"/>
  <c r="L326" i="5"/>
  <c r="N325" i="5"/>
  <c r="M325" i="5"/>
  <c r="L325" i="5"/>
  <c r="E329" i="5"/>
  <c r="E328" i="5"/>
  <c r="E327" i="5"/>
  <c r="E326" i="5"/>
  <c r="E325" i="5"/>
  <c r="N324" i="5"/>
  <c r="M324" i="5"/>
  <c r="L324" i="5"/>
  <c r="E324" i="5"/>
  <c r="N323" i="5"/>
  <c r="M323" i="5"/>
  <c r="L323" i="5"/>
  <c r="N322" i="5"/>
  <c r="M322" i="5"/>
  <c r="L322" i="5"/>
  <c r="N321" i="5"/>
  <c r="M321" i="5"/>
  <c r="L321" i="5"/>
  <c r="N320" i="5"/>
  <c r="M320" i="5"/>
  <c r="L320" i="5"/>
  <c r="N319" i="5"/>
  <c r="M319" i="5"/>
  <c r="L319" i="5"/>
  <c r="N318" i="5"/>
  <c r="M318" i="5"/>
  <c r="L318" i="5"/>
  <c r="E323" i="5"/>
  <c r="E322" i="5"/>
  <c r="E321" i="5"/>
  <c r="E320" i="5"/>
  <c r="E319" i="5"/>
  <c r="E318" i="5"/>
  <c r="N317" i="5"/>
  <c r="E317" i="5"/>
  <c r="M317" i="5"/>
  <c r="L317" i="5"/>
  <c r="E316" i="5"/>
  <c r="E315" i="5"/>
  <c r="E314" i="5"/>
  <c r="E313" i="5"/>
  <c r="E312" i="5"/>
  <c r="E311" i="5"/>
  <c r="N316" i="5"/>
  <c r="M316" i="5"/>
  <c r="L316" i="5"/>
  <c r="N315" i="5"/>
  <c r="M315" i="5"/>
  <c r="L315" i="5"/>
  <c r="N314" i="5"/>
  <c r="M314" i="5"/>
  <c r="L314" i="5"/>
  <c r="N313" i="5"/>
  <c r="M313" i="5"/>
  <c r="L313" i="5"/>
  <c r="N312" i="5"/>
  <c r="M312" i="5"/>
  <c r="L312" i="5"/>
  <c r="N311" i="5"/>
  <c r="M311" i="5"/>
  <c r="L311" i="5"/>
  <c r="N310" i="5"/>
  <c r="M310" i="5"/>
  <c r="L310" i="5"/>
  <c r="E80" i="5"/>
  <c r="E76" i="5"/>
  <c r="E69" i="5"/>
  <c r="E310" i="5"/>
  <c r="N305" i="5" l="1"/>
  <c r="N306" i="5"/>
  <c r="N307" i="5"/>
  <c r="N308" i="5"/>
  <c r="N309" i="5"/>
  <c r="N304" i="5"/>
  <c r="L293" i="5"/>
  <c r="M293" i="5"/>
  <c r="N293" i="5"/>
  <c r="L294" i="5"/>
  <c r="M294" i="5"/>
  <c r="N294" i="5"/>
  <c r="L295" i="5"/>
  <c r="M295" i="5"/>
  <c r="N295" i="5"/>
  <c r="L296" i="5"/>
  <c r="M296" i="5"/>
  <c r="N296" i="5"/>
  <c r="L297" i="5"/>
  <c r="M297" i="5"/>
  <c r="N297" i="5"/>
  <c r="L298" i="5"/>
  <c r="M298" i="5"/>
  <c r="N298" i="5"/>
  <c r="L299" i="5"/>
  <c r="M299" i="5"/>
  <c r="N299" i="5"/>
  <c r="L300" i="5"/>
  <c r="M300" i="5"/>
  <c r="N300" i="5"/>
  <c r="L301" i="5"/>
  <c r="M301" i="5"/>
  <c r="N301" i="5"/>
  <c r="L302" i="5"/>
  <c r="M302" i="5"/>
  <c r="N302" i="5"/>
  <c r="L303" i="5"/>
  <c r="M303" i="5"/>
  <c r="N303" i="5"/>
  <c r="L304" i="5"/>
  <c r="M304" i="5"/>
  <c r="L305" i="5"/>
  <c r="M305" i="5"/>
  <c r="L306" i="5"/>
  <c r="M306" i="5"/>
  <c r="L307" i="5"/>
  <c r="M307" i="5"/>
  <c r="L308" i="5"/>
  <c r="M308" i="5"/>
  <c r="L309" i="5"/>
  <c r="M309" i="5"/>
  <c r="N292" i="5"/>
  <c r="M292" i="5"/>
  <c r="L292" i="5"/>
  <c r="N288" i="5"/>
  <c r="N289" i="5"/>
  <c r="N290" i="5"/>
  <c r="N291" i="5"/>
  <c r="N287" i="5"/>
  <c r="L283" i="5"/>
  <c r="M283" i="5"/>
  <c r="N283" i="5"/>
  <c r="L284" i="5"/>
  <c r="M284" i="5"/>
  <c r="N284" i="5"/>
  <c r="L285" i="5"/>
  <c r="M285" i="5"/>
  <c r="N285" i="5"/>
  <c r="L286" i="5"/>
  <c r="M286" i="5"/>
  <c r="N286" i="5"/>
  <c r="L287" i="5"/>
  <c r="M287" i="5"/>
  <c r="L288" i="5"/>
  <c r="M288" i="5"/>
  <c r="L289" i="5"/>
  <c r="M289" i="5"/>
  <c r="L290" i="5"/>
  <c r="M290" i="5"/>
  <c r="L291" i="5"/>
  <c r="M291" i="5"/>
  <c r="N282" i="5"/>
  <c r="M282" i="5"/>
  <c r="L282" i="5"/>
  <c r="N277" i="5"/>
  <c r="N278" i="5"/>
  <c r="N279" i="5"/>
  <c r="N280" i="5"/>
  <c r="N281" i="5"/>
  <c r="N276" i="5"/>
  <c r="L269" i="5"/>
  <c r="M269" i="5"/>
  <c r="N269" i="5"/>
  <c r="L270" i="5"/>
  <c r="M270" i="5"/>
  <c r="N270" i="5"/>
  <c r="L271" i="5"/>
  <c r="M271" i="5"/>
  <c r="N271" i="5"/>
  <c r="L272" i="5"/>
  <c r="M272" i="5"/>
  <c r="N272" i="5"/>
  <c r="L273" i="5"/>
  <c r="M273" i="5"/>
  <c r="N273" i="5"/>
  <c r="L274" i="5"/>
  <c r="M274" i="5"/>
  <c r="N274" i="5"/>
  <c r="L275" i="5"/>
  <c r="M275" i="5"/>
  <c r="N275" i="5"/>
  <c r="L276" i="5"/>
  <c r="M276" i="5"/>
  <c r="L277" i="5"/>
  <c r="M277" i="5"/>
  <c r="L278" i="5"/>
  <c r="M278" i="5"/>
  <c r="L279" i="5"/>
  <c r="M279" i="5"/>
  <c r="L280" i="5"/>
  <c r="M280" i="5"/>
  <c r="L281" i="5"/>
  <c r="M281" i="5"/>
  <c r="N268" i="5"/>
  <c r="M268" i="5"/>
  <c r="L268" i="5"/>
  <c r="N241" i="5"/>
  <c r="N242" i="5"/>
  <c r="N243" i="5"/>
  <c r="N244" i="5"/>
  <c r="N245" i="5"/>
  <c r="N246" i="5"/>
  <c r="N247" i="5"/>
  <c r="N248" i="5"/>
  <c r="N249" i="5"/>
  <c r="N250" i="5"/>
  <c r="N251" i="5"/>
  <c r="N252" i="5"/>
  <c r="N240" i="5"/>
  <c r="L241" i="5"/>
  <c r="M241" i="5"/>
  <c r="L242" i="5"/>
  <c r="M242" i="5"/>
  <c r="L243" i="5"/>
  <c r="M243" i="5"/>
  <c r="L244" i="5"/>
  <c r="M244" i="5"/>
  <c r="L245" i="5"/>
  <c r="M245" i="5"/>
  <c r="L246" i="5"/>
  <c r="M246" i="5"/>
  <c r="L247" i="5"/>
  <c r="M247" i="5"/>
  <c r="L248" i="5"/>
  <c r="M248" i="5"/>
  <c r="L249" i="5"/>
  <c r="M249" i="5"/>
  <c r="L250" i="5"/>
  <c r="M250" i="5"/>
  <c r="L251" i="5"/>
  <c r="M251" i="5"/>
  <c r="L252" i="5"/>
  <c r="M252" i="5"/>
  <c r="L253" i="5"/>
  <c r="M253" i="5"/>
  <c r="N253" i="5"/>
  <c r="L254" i="5"/>
  <c r="M254" i="5"/>
  <c r="N254" i="5"/>
  <c r="L255" i="5"/>
  <c r="M255" i="5"/>
  <c r="N255" i="5"/>
  <c r="L256" i="5"/>
  <c r="M256" i="5"/>
  <c r="N256" i="5"/>
  <c r="L257" i="5"/>
  <c r="M257" i="5"/>
  <c r="N257" i="5"/>
  <c r="L258" i="5"/>
  <c r="M258" i="5"/>
  <c r="N258" i="5"/>
  <c r="L259" i="5"/>
  <c r="M259" i="5"/>
  <c r="N259" i="5"/>
  <c r="L260" i="5"/>
  <c r="M260" i="5"/>
  <c r="N260" i="5"/>
  <c r="M240" i="5"/>
  <c r="L240" i="5"/>
  <c r="N232" i="5"/>
  <c r="N233" i="5"/>
  <c r="N234" i="5"/>
  <c r="N235" i="5"/>
  <c r="N236" i="5"/>
  <c r="N237" i="5"/>
  <c r="N238" i="5"/>
  <c r="N239" i="5"/>
  <c r="N231" i="5"/>
  <c r="L219" i="5"/>
  <c r="M219" i="5"/>
  <c r="N219" i="5"/>
  <c r="L220" i="5"/>
  <c r="M220" i="5"/>
  <c r="N220" i="5"/>
  <c r="L221" i="5"/>
  <c r="M221" i="5"/>
  <c r="N221" i="5"/>
  <c r="L222" i="5"/>
  <c r="M222" i="5"/>
  <c r="N222" i="5"/>
  <c r="L223" i="5"/>
  <c r="M223" i="5"/>
  <c r="N223" i="5"/>
  <c r="L224" i="5"/>
  <c r="M224" i="5"/>
  <c r="N224" i="5"/>
  <c r="L225" i="5"/>
  <c r="M225" i="5"/>
  <c r="N225" i="5"/>
  <c r="L226" i="5"/>
  <c r="M226" i="5"/>
  <c r="N226" i="5"/>
  <c r="L227" i="5"/>
  <c r="M227" i="5"/>
  <c r="N227" i="5"/>
  <c r="L228" i="5"/>
  <c r="M228" i="5"/>
  <c r="N228" i="5"/>
  <c r="L229" i="5"/>
  <c r="M229" i="5"/>
  <c r="N229" i="5"/>
  <c r="L230" i="5"/>
  <c r="M230" i="5"/>
  <c r="N230" i="5"/>
  <c r="L231" i="5"/>
  <c r="M231" i="5"/>
  <c r="L232" i="5"/>
  <c r="M232" i="5"/>
  <c r="L233" i="5"/>
  <c r="M233" i="5"/>
  <c r="L234" i="5"/>
  <c r="M234" i="5"/>
  <c r="L235" i="5"/>
  <c r="M235" i="5"/>
  <c r="L236" i="5"/>
  <c r="M236" i="5"/>
  <c r="L237" i="5"/>
  <c r="M237" i="5"/>
  <c r="L238" i="5"/>
  <c r="M238" i="5"/>
  <c r="L239" i="5"/>
  <c r="M239" i="5"/>
  <c r="N218" i="5"/>
  <c r="M218" i="5"/>
  <c r="L218" i="5"/>
  <c r="N215" i="5"/>
  <c r="N216" i="5"/>
  <c r="N217" i="5"/>
  <c r="N214" i="5"/>
  <c r="L210" i="5"/>
  <c r="M210" i="5"/>
  <c r="N210" i="5"/>
  <c r="L211" i="5"/>
  <c r="M211" i="5"/>
  <c r="N211" i="5"/>
  <c r="L212" i="5"/>
  <c r="M212" i="5"/>
  <c r="N212" i="5"/>
  <c r="L213" i="5"/>
  <c r="M213" i="5"/>
  <c r="N213" i="5"/>
  <c r="L214" i="5"/>
  <c r="M214" i="5"/>
  <c r="L215" i="5"/>
  <c r="M215" i="5"/>
  <c r="L216" i="5"/>
  <c r="M216" i="5"/>
  <c r="L217" i="5"/>
  <c r="M217" i="5"/>
  <c r="N208" i="5"/>
  <c r="N203" i="5"/>
  <c r="N204" i="5"/>
  <c r="N205" i="5"/>
  <c r="N206" i="5"/>
  <c r="N207" i="5"/>
  <c r="N202" i="5"/>
  <c r="N209" i="5"/>
  <c r="M209" i="5"/>
  <c r="L209" i="5"/>
  <c r="L197" i="5"/>
  <c r="M197" i="5"/>
  <c r="N197" i="5"/>
  <c r="L198" i="5"/>
  <c r="M198" i="5"/>
  <c r="N198" i="5"/>
  <c r="L199" i="5"/>
  <c r="M199" i="5"/>
  <c r="N199" i="5"/>
  <c r="L200" i="5"/>
  <c r="M200" i="5"/>
  <c r="N200" i="5"/>
  <c r="L201" i="5"/>
  <c r="M201" i="5"/>
  <c r="N201" i="5"/>
  <c r="L202" i="5"/>
  <c r="M202" i="5"/>
  <c r="L203" i="5"/>
  <c r="M203" i="5"/>
  <c r="L204" i="5"/>
  <c r="M204" i="5"/>
  <c r="L205" i="5"/>
  <c r="M205" i="5"/>
  <c r="L206" i="5"/>
  <c r="M206" i="5"/>
  <c r="L207" i="5"/>
  <c r="M207" i="5"/>
  <c r="L208" i="5"/>
  <c r="M208" i="5"/>
  <c r="N196" i="5"/>
  <c r="M196" i="5"/>
  <c r="L196" i="5"/>
  <c r="L195" i="5"/>
  <c r="M195" i="5"/>
  <c r="N195" i="5"/>
  <c r="N191" i="5"/>
  <c r="N192" i="5"/>
  <c r="N193" i="5"/>
  <c r="N194" i="5"/>
  <c r="N190" i="5"/>
  <c r="N185" i="5"/>
  <c r="N186" i="5"/>
  <c r="N187" i="5"/>
  <c r="N189" i="5"/>
  <c r="N184" i="5"/>
  <c r="L176" i="5"/>
  <c r="M176" i="5"/>
  <c r="N176" i="5"/>
  <c r="L177" i="5"/>
  <c r="M177" i="5"/>
  <c r="N177" i="5"/>
  <c r="L178" i="5"/>
  <c r="M178" i="5"/>
  <c r="N178" i="5"/>
  <c r="L179" i="5"/>
  <c r="M179" i="5"/>
  <c r="N179" i="5"/>
  <c r="L180" i="5"/>
  <c r="M180" i="5"/>
  <c r="N180" i="5"/>
  <c r="L183" i="5"/>
  <c r="M183" i="5"/>
  <c r="N183" i="5"/>
  <c r="L184" i="5"/>
  <c r="M184" i="5"/>
  <c r="L185" i="5"/>
  <c r="M185" i="5"/>
  <c r="L186" i="5"/>
  <c r="M186" i="5"/>
  <c r="L187" i="5"/>
  <c r="M187" i="5"/>
  <c r="L189" i="5"/>
  <c r="M189" i="5"/>
  <c r="L190" i="5"/>
  <c r="M190" i="5"/>
  <c r="L191" i="5"/>
  <c r="M191" i="5"/>
  <c r="L192" i="5"/>
  <c r="M192" i="5"/>
  <c r="L193" i="5"/>
  <c r="M193" i="5"/>
  <c r="L194" i="5"/>
  <c r="M194" i="5"/>
  <c r="N175" i="5"/>
  <c r="M175" i="5"/>
  <c r="L175" i="5"/>
  <c r="N172" i="5"/>
  <c r="N173" i="5"/>
  <c r="N174" i="5"/>
  <c r="N171" i="5"/>
  <c r="L166" i="5"/>
  <c r="M166" i="5"/>
  <c r="N166" i="5"/>
  <c r="L167" i="5"/>
  <c r="M167" i="5"/>
  <c r="N167" i="5"/>
  <c r="L168" i="5"/>
  <c r="M168" i="5"/>
  <c r="N168" i="5"/>
  <c r="L169" i="5"/>
  <c r="M169" i="5"/>
  <c r="N169" i="5"/>
  <c r="L170" i="5"/>
  <c r="M170" i="5"/>
  <c r="N170" i="5"/>
  <c r="L171" i="5"/>
  <c r="M171" i="5"/>
  <c r="L172" i="5"/>
  <c r="M172" i="5"/>
  <c r="L173" i="5"/>
  <c r="M173" i="5"/>
  <c r="L174" i="5"/>
  <c r="M174" i="5"/>
  <c r="N165" i="5"/>
  <c r="M165" i="5"/>
  <c r="L165" i="5"/>
  <c r="N159" i="5"/>
  <c r="N154" i="5"/>
  <c r="N155" i="5"/>
  <c r="N156" i="5"/>
  <c r="N157" i="5"/>
  <c r="N158" i="5"/>
  <c r="N153" i="5"/>
  <c r="N149" i="5"/>
  <c r="N150" i="5"/>
  <c r="N151" i="5"/>
  <c r="N152" i="5"/>
  <c r="N148" i="5"/>
  <c r="L149" i="5"/>
  <c r="M149" i="5"/>
  <c r="L150" i="5"/>
  <c r="M150" i="5"/>
  <c r="L151" i="5"/>
  <c r="M151" i="5"/>
  <c r="L152" i="5"/>
  <c r="M152" i="5"/>
  <c r="L153" i="5"/>
  <c r="M153" i="5"/>
  <c r="L154" i="5"/>
  <c r="M154" i="5"/>
  <c r="L155" i="5"/>
  <c r="M155" i="5"/>
  <c r="L156" i="5"/>
  <c r="M156" i="5"/>
  <c r="L157" i="5"/>
  <c r="M157" i="5"/>
  <c r="L158" i="5"/>
  <c r="M158" i="5"/>
  <c r="L159" i="5"/>
  <c r="M159" i="5"/>
  <c r="L160" i="5"/>
  <c r="M160" i="5"/>
  <c r="N160" i="5"/>
  <c r="L161" i="5"/>
  <c r="M161" i="5"/>
  <c r="N161" i="5"/>
  <c r="L162" i="5"/>
  <c r="M162" i="5"/>
  <c r="N162" i="5"/>
  <c r="L163" i="5"/>
  <c r="M163" i="5"/>
  <c r="N163" i="5"/>
  <c r="L164" i="5"/>
  <c r="M164" i="5"/>
  <c r="N164" i="5"/>
  <c r="M148" i="5"/>
  <c r="L148" i="5"/>
  <c r="N147" i="5"/>
  <c r="N145" i="5"/>
  <c r="N146" i="5"/>
  <c r="N144" i="5"/>
  <c r="N139" i="5"/>
  <c r="N140" i="5"/>
  <c r="N141" i="5"/>
  <c r="N142" i="5"/>
  <c r="N143" i="5"/>
  <c r="N137" i="5"/>
  <c r="L128" i="5"/>
  <c r="M128" i="5"/>
  <c r="N128" i="5"/>
  <c r="L129" i="5"/>
  <c r="M129" i="5"/>
  <c r="N129" i="5"/>
  <c r="L130" i="5"/>
  <c r="M130" i="5"/>
  <c r="N130" i="5"/>
  <c r="L131" i="5"/>
  <c r="M131" i="5"/>
  <c r="N131" i="5"/>
  <c r="L139" i="5"/>
  <c r="L140" i="5"/>
  <c r="M140" i="5"/>
  <c r="L141" i="5"/>
  <c r="M141" i="5"/>
  <c r="L142" i="5"/>
  <c r="M142" i="5"/>
  <c r="L143" i="5"/>
  <c r="M143" i="5"/>
  <c r="L144" i="5"/>
  <c r="M144" i="5"/>
  <c r="L145" i="5"/>
  <c r="M145" i="5"/>
  <c r="L146" i="5"/>
  <c r="M146" i="5"/>
  <c r="L147" i="5"/>
  <c r="M147" i="5"/>
  <c r="N127" i="5"/>
  <c r="M127" i="5"/>
  <c r="L127" i="5"/>
  <c r="N121" i="5"/>
  <c r="N122" i="5"/>
  <c r="N123" i="5"/>
  <c r="N124" i="5"/>
  <c r="N126" i="5"/>
  <c r="N120" i="5"/>
  <c r="L114" i="5"/>
  <c r="M114" i="5"/>
  <c r="N114" i="5"/>
  <c r="L115" i="5"/>
  <c r="M115" i="5"/>
  <c r="N115" i="5"/>
  <c r="L116" i="5"/>
  <c r="M116" i="5"/>
  <c r="N116" i="5"/>
  <c r="L117" i="5"/>
  <c r="M117" i="5"/>
  <c r="N117" i="5"/>
  <c r="L119" i="5"/>
  <c r="M119" i="5"/>
  <c r="N119" i="5"/>
  <c r="L120" i="5"/>
  <c r="M120" i="5"/>
  <c r="L121" i="5"/>
  <c r="M121" i="5"/>
  <c r="L122" i="5"/>
  <c r="M122" i="5"/>
  <c r="L123" i="5"/>
  <c r="M123" i="5"/>
  <c r="L124" i="5"/>
  <c r="M124" i="5"/>
  <c r="L126" i="5"/>
  <c r="M126" i="5"/>
  <c r="N113" i="5"/>
  <c r="M113" i="5"/>
  <c r="L113" i="5"/>
  <c r="N108" i="5"/>
  <c r="N109" i="5"/>
  <c r="N110" i="5"/>
  <c r="N111" i="5"/>
  <c r="N112" i="5"/>
  <c r="N107" i="5"/>
  <c r="L99" i="5"/>
  <c r="M99" i="5"/>
  <c r="N99" i="5"/>
  <c r="L100" i="5"/>
  <c r="M100" i="5"/>
  <c r="N100" i="5"/>
  <c r="L101" i="5"/>
  <c r="M101" i="5"/>
  <c r="N101" i="5"/>
  <c r="L102" i="5"/>
  <c r="M102" i="5"/>
  <c r="N102" i="5"/>
  <c r="L103" i="5"/>
  <c r="M103" i="5"/>
  <c r="N103" i="5"/>
  <c r="L104" i="5"/>
  <c r="M104" i="5"/>
  <c r="N104" i="5"/>
  <c r="L105" i="5"/>
  <c r="M105" i="5"/>
  <c r="N105" i="5"/>
  <c r="N98" i="5"/>
  <c r="L94" i="5"/>
  <c r="M94" i="5"/>
  <c r="N94" i="5"/>
  <c r="L96" i="5"/>
  <c r="M96" i="5"/>
  <c r="N96" i="5"/>
  <c r="L97" i="5"/>
  <c r="M97" i="5"/>
  <c r="N97" i="5"/>
  <c r="L98" i="5"/>
  <c r="M98" i="5"/>
  <c r="L107" i="5"/>
  <c r="M107" i="5"/>
  <c r="L108" i="5"/>
  <c r="M108" i="5"/>
  <c r="L109" i="5"/>
  <c r="M109" i="5"/>
  <c r="L110" i="5"/>
  <c r="M110" i="5"/>
  <c r="L111" i="5"/>
  <c r="M111" i="5"/>
  <c r="L112" i="5"/>
  <c r="M112" i="5"/>
  <c r="N93" i="5"/>
  <c r="M93" i="5"/>
  <c r="L93" i="5"/>
  <c r="L85" i="5"/>
  <c r="M85" i="5"/>
  <c r="N85" i="5"/>
  <c r="L86" i="5"/>
  <c r="M86" i="5"/>
  <c r="N86" i="5"/>
  <c r="L87" i="5"/>
  <c r="M87" i="5"/>
  <c r="N87" i="5"/>
  <c r="L88" i="5"/>
  <c r="M88" i="5"/>
  <c r="N88" i="5"/>
  <c r="L89" i="5"/>
  <c r="M89" i="5"/>
  <c r="N89" i="5"/>
  <c r="L90" i="5"/>
  <c r="M90" i="5"/>
  <c r="N90" i="5"/>
  <c r="L91" i="5"/>
  <c r="M91" i="5"/>
  <c r="N91" i="5"/>
  <c r="L92" i="5"/>
  <c r="M92" i="5"/>
  <c r="N92" i="5"/>
  <c r="N84" i="5"/>
  <c r="M84" i="5"/>
  <c r="L84" i="5"/>
  <c r="L83" i="5"/>
  <c r="M83" i="5"/>
  <c r="N83" i="5"/>
  <c r="N82" i="5"/>
  <c r="M82" i="5"/>
  <c r="L82" i="5"/>
  <c r="N81" i="5"/>
  <c r="M81" i="5"/>
  <c r="L81" i="5"/>
  <c r="E83" i="5"/>
  <c r="E82" i="5"/>
  <c r="E81" i="5"/>
  <c r="N80" i="5"/>
  <c r="M80" i="5"/>
  <c r="L80" i="5"/>
  <c r="N79" i="5"/>
  <c r="M79" i="5"/>
  <c r="L79" i="5"/>
  <c r="N78" i="5"/>
  <c r="M78" i="5"/>
  <c r="L78" i="5"/>
  <c r="N77" i="5"/>
  <c r="M77" i="5"/>
  <c r="L77" i="5"/>
  <c r="E79" i="5"/>
  <c r="E78" i="5"/>
  <c r="E77" i="5"/>
  <c r="N76" i="5"/>
  <c r="M76" i="5"/>
  <c r="L76" i="5"/>
  <c r="N75" i="5"/>
  <c r="M75" i="5"/>
  <c r="L75" i="5"/>
  <c r="N74" i="5"/>
  <c r="M74" i="5"/>
  <c r="L74" i="5"/>
  <c r="N73" i="5"/>
  <c r="M73" i="5"/>
  <c r="L73" i="5"/>
  <c r="N72" i="5"/>
  <c r="M72" i="5"/>
  <c r="L72" i="5"/>
  <c r="N71" i="5"/>
  <c r="M71" i="5"/>
  <c r="L71" i="5"/>
  <c r="N70" i="5"/>
  <c r="M70" i="5"/>
  <c r="L70" i="5"/>
  <c r="E75" i="5"/>
  <c r="E74" i="5"/>
  <c r="E73" i="5"/>
  <c r="E72" i="5"/>
  <c r="E71" i="5"/>
  <c r="E70" i="5"/>
  <c r="N69" i="5"/>
  <c r="M69" i="5"/>
  <c r="L69" i="5"/>
  <c r="N68" i="5"/>
  <c r="M68" i="5"/>
  <c r="L68" i="5"/>
  <c r="N67" i="5"/>
  <c r="M67" i="5"/>
  <c r="L67" i="5"/>
  <c r="N66" i="5"/>
  <c r="M66" i="5"/>
  <c r="L66" i="5"/>
  <c r="E68" i="5"/>
  <c r="E67" i="5"/>
  <c r="E66" i="5"/>
  <c r="N65" i="5"/>
  <c r="M65" i="5"/>
  <c r="L65" i="5"/>
  <c r="E65" i="5"/>
  <c r="N64" i="5"/>
  <c r="M64" i="5"/>
  <c r="L64" i="5"/>
  <c r="N63" i="5"/>
  <c r="M63" i="5"/>
  <c r="L63" i="5"/>
  <c r="N62" i="5"/>
  <c r="M62" i="5"/>
  <c r="L62" i="5"/>
  <c r="N61" i="5"/>
  <c r="M61" i="5"/>
  <c r="L61" i="5"/>
  <c r="N60" i="5"/>
  <c r="E60" i="5"/>
  <c r="M60" i="5"/>
  <c r="L60" i="5"/>
  <c r="N59" i="5"/>
  <c r="M59" i="5"/>
  <c r="L59" i="5"/>
  <c r="N58" i="5"/>
  <c r="M58" i="5"/>
  <c r="L58" i="5"/>
  <c r="N57" i="5"/>
  <c r="M57" i="5"/>
  <c r="L57" i="5"/>
  <c r="E59" i="5"/>
  <c r="E58" i="5"/>
  <c r="E57" i="5"/>
  <c r="N56" i="5"/>
  <c r="E56" i="5"/>
  <c r="M56" i="5"/>
  <c r="L56" i="5"/>
  <c r="N51" i="5"/>
  <c r="M51" i="5"/>
  <c r="L51" i="5"/>
  <c r="N50" i="5"/>
  <c r="M50" i="5"/>
  <c r="L50" i="5"/>
  <c r="N49" i="5"/>
  <c r="M49" i="5"/>
  <c r="L49" i="5"/>
  <c r="N48" i="5"/>
  <c r="M48" i="5"/>
  <c r="L48" i="5"/>
  <c r="N47" i="5"/>
  <c r="M47" i="5"/>
  <c r="L47" i="5"/>
  <c r="E51" i="5"/>
  <c r="E50" i="5"/>
  <c r="E49" i="5"/>
  <c r="E48" i="5"/>
  <c r="E47" i="5"/>
  <c r="N46" i="5"/>
  <c r="E46" i="5"/>
  <c r="M46" i="5"/>
  <c r="L46" i="5"/>
  <c r="L45" i="5"/>
  <c r="L44" i="5"/>
  <c r="L43" i="5"/>
  <c r="L42" i="5"/>
  <c r="L41" i="5"/>
  <c r="L40" i="5"/>
  <c r="N45" i="5"/>
  <c r="M45" i="5"/>
  <c r="N44" i="5"/>
  <c r="M44" i="5"/>
  <c r="N43" i="5"/>
  <c r="M43" i="5"/>
  <c r="N42" i="5"/>
  <c r="M42" i="5"/>
  <c r="N41" i="5"/>
  <c r="M41" i="5"/>
  <c r="N40" i="5"/>
  <c r="M40" i="5"/>
  <c r="E45" i="5"/>
  <c r="E42" i="5"/>
  <c r="E44" i="5"/>
  <c r="E43" i="5"/>
  <c r="E41" i="5"/>
  <c r="E40" i="5"/>
  <c r="N39" i="5" l="1"/>
  <c r="M39" i="5"/>
  <c r="L39" i="5"/>
  <c r="N38" i="5"/>
  <c r="M38" i="5"/>
  <c r="L38" i="5"/>
  <c r="N37" i="5"/>
  <c r="M37" i="5"/>
  <c r="L37" i="5"/>
  <c r="N36" i="5"/>
  <c r="M36" i="5"/>
  <c r="L36" i="5"/>
  <c r="N35" i="5"/>
  <c r="M35" i="5"/>
  <c r="L35" i="5"/>
  <c r="E39" i="5"/>
  <c r="E38" i="5"/>
  <c r="E37" i="5"/>
  <c r="E36" i="5"/>
  <c r="E35" i="5"/>
  <c r="N34" i="5"/>
  <c r="E34" i="5"/>
  <c r="M34" i="5"/>
  <c r="L34" i="5"/>
  <c r="N33" i="5"/>
  <c r="N32" i="5"/>
  <c r="N31" i="5"/>
  <c r="N30" i="5"/>
  <c r="N29" i="5"/>
  <c r="M33" i="5"/>
  <c r="L33" i="5"/>
  <c r="M32" i="5"/>
  <c r="L32" i="5"/>
  <c r="M31" i="5"/>
  <c r="L31" i="5"/>
  <c r="M30" i="5"/>
  <c r="L30" i="5"/>
  <c r="M29" i="5"/>
  <c r="L29" i="5"/>
  <c r="E33" i="5"/>
  <c r="E32" i="5"/>
  <c r="E31" i="5"/>
  <c r="E30" i="5"/>
  <c r="E29" i="5"/>
  <c r="N28" i="5"/>
  <c r="N26" i="5"/>
  <c r="N25" i="5"/>
  <c r="N24" i="5"/>
  <c r="N23" i="5"/>
  <c r="N22" i="5"/>
  <c r="N21" i="5"/>
  <c r="N19" i="5"/>
  <c r="N18" i="5"/>
  <c r="N17" i="5"/>
  <c r="N16" i="5"/>
  <c r="M28" i="5"/>
  <c r="M26" i="5"/>
  <c r="M25" i="5"/>
  <c r="M24" i="5"/>
  <c r="M23" i="5"/>
  <c r="M22" i="5"/>
  <c r="M21" i="5"/>
  <c r="M19" i="5"/>
  <c r="M18" i="5"/>
  <c r="M17" i="5"/>
  <c r="M16" i="5"/>
  <c r="L28" i="5"/>
  <c r="L26" i="5"/>
  <c r="L25" i="5"/>
  <c r="L24" i="5"/>
  <c r="L23" i="5"/>
  <c r="L22" i="5"/>
  <c r="L21" i="5"/>
  <c r="L19" i="5"/>
  <c r="L18" i="5"/>
  <c r="L17" i="5"/>
  <c r="L16" i="5"/>
  <c r="N9" i="5"/>
  <c r="L9" i="5"/>
  <c r="N2" i="5"/>
  <c r="M2" i="5"/>
  <c r="L2" i="5"/>
  <c r="E22" i="5"/>
  <c r="E16" i="5"/>
  <c r="E9" i="5"/>
  <c r="E2" i="5"/>
  <c r="E21" i="5"/>
  <c r="E19" i="5"/>
  <c r="E18" i="5"/>
  <c r="E17" i="5"/>
  <c r="E15" i="5"/>
  <c r="E14" i="5"/>
  <c r="E13" i="5"/>
  <c r="E12" i="5"/>
  <c r="E11" i="5"/>
  <c r="E10" i="5"/>
  <c r="E8" i="5"/>
  <c r="E7" i="5"/>
  <c r="E6" i="5"/>
  <c r="E5" i="5"/>
  <c r="E4" i="5"/>
  <c r="E3" i="5"/>
  <c r="N15" i="5"/>
  <c r="N14" i="5"/>
  <c r="N13" i="5"/>
  <c r="N12" i="5"/>
  <c r="N11" i="5"/>
  <c r="N10" i="5"/>
  <c r="N8" i="5"/>
  <c r="N7" i="5"/>
  <c r="N6" i="5"/>
  <c r="N5" i="5"/>
  <c r="N4" i="5"/>
  <c r="N3" i="5"/>
  <c r="M15" i="5"/>
  <c r="M14" i="5"/>
  <c r="M13" i="5"/>
  <c r="M12" i="5"/>
  <c r="M11" i="5"/>
  <c r="M10" i="5"/>
  <c r="M8" i="5"/>
  <c r="M7" i="5"/>
  <c r="M6" i="5"/>
  <c r="M5" i="5"/>
  <c r="M4" i="5"/>
  <c r="M3" i="5"/>
  <c r="L15" i="5"/>
  <c r="L14" i="5"/>
  <c r="L13" i="5"/>
  <c r="L12" i="5"/>
  <c r="L11" i="5"/>
  <c r="L10" i="5"/>
  <c r="L8" i="5"/>
  <c r="L7" i="5"/>
  <c r="L6" i="5"/>
  <c r="L5" i="5"/>
  <c r="L4" i="5"/>
  <c r="L3" i="5"/>
</calcChain>
</file>

<file path=xl/sharedStrings.xml><?xml version="1.0" encoding="utf-8"?>
<sst xmlns="http://schemas.openxmlformats.org/spreadsheetml/2006/main" count="4363" uniqueCount="613">
  <si>
    <t></t>
  </si>
  <si>
    <t>Choose answer</t>
  </si>
  <si>
    <t>Comments if any</t>
  </si>
  <si>
    <t>Rating</t>
  </si>
  <si>
    <t>question</t>
  </si>
  <si>
    <t>choice</t>
  </si>
  <si>
    <t>options</t>
  </si>
  <si>
    <t>values</t>
  </si>
  <si>
    <t>selected</t>
  </si>
  <si>
    <t>order</t>
  </si>
  <si>
    <t>type</t>
  </si>
  <si>
    <t>answers</t>
  </si>
  <si>
    <t>number</t>
  </si>
  <si>
    <t>identifier</t>
  </si>
  <si>
    <t>comments</t>
  </si>
  <si>
    <t>rating</t>
  </si>
  <si>
    <t>multiple-choice</t>
  </si>
  <si>
    <t>Don't know</t>
  </si>
  <si>
    <t>single-choice</t>
  </si>
  <si>
    <t>Have you integrated cybersecurity in your national curricula for primary education?</t>
  </si>
  <si>
    <t>No</t>
  </si>
  <si>
    <t>A proposal has already been made to the relevant ministry/authority</t>
  </si>
  <si>
    <t>The proposal has been approved and is in the process of being implemented</t>
  </si>
  <si>
    <t>Cybersecurity has been integrated in the national curricula</t>
  </si>
  <si>
    <t>Have you integrated cybersecurity in your national curricula for secondary education?</t>
  </si>
  <si>
    <t>Cybersecurity in national education curricula</t>
  </si>
  <si>
    <t>Reference</t>
  </si>
  <si>
    <t>reference</t>
  </si>
  <si>
    <t>Tools and training to fight cybercrime</t>
  </si>
  <si>
    <t>Indicate whether specialised training is provided to stakeholders involved in addressing cybercrime (LEAs, judiciary, CSIRTs), e.g. training sessions on filing/prosecuting cyber-enabled crimes, trainings on collecting electronic evidence and ensuring integrity throughout the digital chain of custody and computer forensics, among others. Select all that apply</t>
  </si>
  <si>
    <t>Specialised training is provided on a regular basis to stakeholders involved in addressing cybercrime</t>
  </si>
  <si>
    <t>Our country participates in training opportunities offered and/or supported by EU Agencies (e.g. Europol, Eurojust, OLAF, Cepol, ENISA)</t>
  </si>
  <si>
    <t>We periodically evaluate the adequacy of the training provided and make the corresponding adaptations / updates</t>
  </si>
  <si>
    <t>We have interinstitutional training or training workshops at a national level and/or at a multilateral level for stakeholders involved in addressing cybercrime</t>
  </si>
  <si>
    <t>Indicate whether you have tools and associated procedures to address cybercrime, e.g. cybercrime taxonomy and classification, tools to collect electronic evidence, computer forensics tools, trusted sharing platforms…</t>
  </si>
  <si>
    <t>We have the adequate tools to address cybercrime</t>
  </si>
  <si>
    <t>We have defined standard operating procedures to handle e-evidences</t>
  </si>
  <si>
    <t>We use and/or participate in building standardised tools and methodologies, forms and procedures to be shared with EU stakeholders (LEAs, CSIRTs, ENISA, Europol's EC3…)</t>
  </si>
  <si>
    <t>Our country uses EU Blueprint and/or the Law Enforcement Emergency Response Protocol (EU LE ERP) to effectively respond to large scale cyber incidents</t>
  </si>
  <si>
    <t>Yes</t>
  </si>
  <si>
    <t>41-60%</t>
  </si>
  <si>
    <t>21-40%</t>
  </si>
  <si>
    <t>0-20%</t>
  </si>
  <si>
    <t>61-80%</t>
  </si>
  <si>
    <t>81-100%</t>
  </si>
  <si>
    <t>Participation by essential and important entities in a national or EU-level ISACs</t>
  </si>
  <si>
    <t>No, but we are planning / in progress of doing so</t>
  </si>
  <si>
    <t>No, and we are not planning to do so</t>
  </si>
  <si>
    <t>My country does not have national-level ISACs</t>
  </si>
  <si>
    <t>In 2022, what was the share of essential and important entities in your country that was a member of at least one national or EU-level ISAC</t>
  </si>
  <si>
    <t>Cooperation at national level</t>
  </si>
  <si>
    <t>Have you taken any action to ensure cooperation between competent authorities, the single point of contact and the CSIRTs of your country according to NIS2 Art.13 (1,2)?</t>
  </si>
  <si>
    <t>No action has been taken</t>
  </si>
  <si>
    <t>Cooperation mechanisms are in progress of being defined</t>
  </si>
  <si>
    <t>Cooperation mechanisms have been defined and are in the process of being established</t>
  </si>
  <si>
    <t>Cooperation mechanisms have been officially documented and established</t>
  </si>
  <si>
    <t>Cooperation mechanisms are dynamically updated and adapted to the needs</t>
  </si>
  <si>
    <t>Notification flow is in progress of being implemented</t>
  </si>
  <si>
    <t>Currently we have mechanisms in place to ensure only one of the following:
- CSIRTs / competent authorities receive notifications regarding incidents, cyber threats and near misses in my country
- CSIRTs / competent authorities inform their single points of contact of any received notifications regarding incidents, cyber threats and near misses in my country</t>
  </si>
  <si>
    <t>Currently we have mechanisms in place to ensure the complete flow of notifications regarding  incidents, cyber threats and near misses in my country</t>
  </si>
  <si>
    <t>Mechanisms to ensure the complete flow of notifications are dynamically updated and adapted to the needs</t>
  </si>
  <si>
    <t>We are in progress of doing so</t>
  </si>
  <si>
    <t>Regulation (EU) No 910/2014 (eIDAS)</t>
  </si>
  <si>
    <t>Regulation (EU) 2022/2554 (DORA)</t>
  </si>
  <si>
    <t xml:space="preserve">Directive (EU) 2018/1972 (EECC) </t>
  </si>
  <si>
    <t>Have you taken any action to ensure the notification flow of incidents, cyber threats and near misses in your country according to NIS2 Art.13 (3) (CSIRTs / competent authorities receive notifications and they inform their single points of contact)</t>
  </si>
  <si>
    <t>Have you taken any action to ensure, to the extent of possible, appropriate cooperation between [CSIRTs / competent authorities, single points of contact] and other relevant actors, such as the ones mentioned in NIS2 Art.13 (4)?</t>
  </si>
  <si>
    <t>Have you taken any action to ensure that your competent authorities under Directive (EU) 2022/2555 (NIS2) and your competent authorities under Directive (EU) 2022/2557 (CER) cooperate and exchange information on a regular basis with regard to the identification of critical entities, on risks, cyber threats, and incidents as well as on non-cyber risks, threats and incidents affecting critical entities under CER, and the measures taken in response to such risks, threats and incidents?</t>
  </si>
  <si>
    <t>Have you taken any action to ensure that your competent authorities under Directive (EU) 2022/2555 (NIS2) exchange relevant information on a regular basis with the competent authorities under the following Directives/Regulations, including with regard to relevant incidents and cyber threats? Select all that apply</t>
  </si>
  <si>
    <t>Cybersecurity threat monitoring at national level</t>
  </si>
  <si>
    <t>How often does your country monitor the current cybersecurity threat level at the national level?</t>
  </si>
  <si>
    <t>In case of need, is your country equipped to communicate the threat level to essential and important entities?</t>
  </si>
  <si>
    <t>Do you create and update threat landscape reports at a national level?</t>
  </si>
  <si>
    <t xml:space="preserve">24/7 </t>
  </si>
  <si>
    <t>Daily</t>
  </si>
  <si>
    <t>Weekly</t>
  </si>
  <si>
    <t>Monthly</t>
  </si>
  <si>
    <t>Only ad-hoc, not systematically</t>
  </si>
  <si>
    <t>We do not perform such kinf of monitoring</t>
  </si>
  <si>
    <t>Yes, in a manual / ad-hoc manner</t>
  </si>
  <si>
    <t>Yes, in an automated way / with minum human intervention</t>
  </si>
  <si>
    <t>No, we do not produce such reports</t>
  </si>
  <si>
    <t>Yes, in an ad-hoc basis</t>
  </si>
  <si>
    <t>Yes, we produce and update them periodically</t>
  </si>
  <si>
    <t>Cybersecurity training or mentorship programs have been developed in our country to support national start-ups and SMEs</t>
  </si>
  <si>
    <t>No, we do not conduct such kind of exercises</t>
  </si>
  <si>
    <t>Yes, at a national level</t>
  </si>
  <si>
    <t>Yes, at a pan-European or international level</t>
  </si>
  <si>
    <t>No, we do not have such exercise program</t>
  </si>
  <si>
    <t>We have conducted such kind of exercises and are planning to conduct more on an ad-hoc basis, but they are not structured within a program / plan based on national exercise needs</t>
  </si>
  <si>
    <t>We have defined and established a cybersecurity exercise program at a national level</t>
  </si>
  <si>
    <t>We involve relevant authorities of public administration in the planning and execution of the exercises</t>
  </si>
  <si>
    <t>We involve the private sector in the planning and execution of the exercises</t>
  </si>
  <si>
    <t>We produce after action reports and share them with relevant actors</t>
  </si>
  <si>
    <t>Exercise typology and diversity: please indicate whether you organise exercises of the following types (select all that apply)</t>
  </si>
  <si>
    <t>We organise sector-specific exercises</t>
  </si>
  <si>
    <t>We organise inter-sectorial and/or cross-sectorial cybersecurity exercises</t>
  </si>
  <si>
    <t>We organise cybersecurity exercises at different levels, such as technical, operational, procedure, decision-making, political, etc.</t>
  </si>
  <si>
    <t>We test national-level plans and procedures</t>
  </si>
  <si>
    <t>We do not organise exercises of any of these types</t>
  </si>
  <si>
    <t>We have identified the law enforcement requirements (legal basis, resources, skills…) to effectively address cybercrime</t>
  </si>
  <si>
    <t>We have a dedicated budget allocated to the cybercrime unit(s)</t>
  </si>
  <si>
    <t>We perform regular evaluations to ensure that sufficient resources (human, budget and tools) are dedicated to cybercrime unit(s)</t>
  </si>
  <si>
    <t>We have dispositions dedicated to providing support and assistance to victims of cybercrimes (general users, SMEs, large companies)</t>
  </si>
  <si>
    <t>There is at least one unit dedicated to cybercrime within our prosecution offices</t>
  </si>
  <si>
    <t>We have dedicated courts, specialized judges and/or appointed supporting experts to handle cybercrime cases</t>
  </si>
  <si>
    <t>Informal information sharing mechanisms on cybersecurity incidents have been established between private organisations and national authorities</t>
  </si>
  <si>
    <t>A coordination/cooperation mechanism for incident reporting obligations have been established regarding all or some of these regulations/directives:
- GDPR
- NIS2
- Article 40 of Directive (EU 2018/1972)  (ex-art13a)
- eIDAS</t>
  </si>
  <si>
    <t>An incident reporting scheme for all sectors of high criticality under Annex I of the NIS2 has been established</t>
  </si>
  <si>
    <t>An incident reporting scheme for other critical sectors under Annex II of the NIS2 has been established</t>
  </si>
  <si>
    <t>A harmonised procedure for sectorial incident reporting scheme has been established</t>
  </si>
  <si>
    <t>For telecommunication service providers in compliance with article 40 of the Directive (EU 2018/1972)</t>
  </si>
  <si>
    <t>For trust services providers in compliance with article (19) of the eIDAS Regulation (Regulation (EU) No 910/2014)</t>
  </si>
  <si>
    <t>For essential and important entities in compliance with article (23) of the NIS2 Directive</t>
  </si>
  <si>
    <t>Yes, in order to exchange information and to answer urgent information requests from other Member States relating to offences set out in Directive 2013/40/EU (Directive on attacks against information systems)</t>
  </si>
  <si>
    <t>No national coordination mechanisms in this area have been established</t>
  </si>
  <si>
    <t>Central body/entity to coordinate the activities has been established</t>
  </si>
  <si>
    <t>Inter-institutional framework and cooperation mechanisms between all relevant stakeholders (e.g. LEA, national CSIRT, judiciary communities) have been established, including private sector (e.g. operators of essential services, service providers) where appropriate, to respond to cyber-attacks and to facilitate the information exchange</t>
  </si>
  <si>
    <t>We don't cooperate / share information externally</t>
  </si>
  <si>
    <t>Yes, with other Member States</t>
  </si>
  <si>
    <t>Yes, with EU Agencies (e.g. Europol's EC3, Eurojust, ENISA)</t>
  </si>
  <si>
    <t>We have not taken any kind of actions in this regard</t>
  </si>
  <si>
    <t>Adequate tools to ensure the confidentiality and integrity of information shared via the various reporting channels are used</t>
  </si>
  <si>
    <t>There is a platform/tool to facilitate the reporting process</t>
  </si>
  <si>
    <t>A common taxonomy has been defined at national level for incident classification and root cause categories</t>
  </si>
  <si>
    <t>Do you create a periodic (i.e. annual) national incident report?</t>
  </si>
  <si>
    <t>Not yet, but we are in process of establishing such report as a periodic activity</t>
  </si>
  <si>
    <t>Bachelor and master degrees in cybersecurity are offered as an independent discipline in universities in our country, and not as a computer science subject</t>
  </si>
  <si>
    <t>We have cybersecurity courses and/or specialised curriculum for EQF (European Qualifications Framework) level 5 to 8</t>
  </si>
  <si>
    <t>We have mechanisms in place to ensure that educational programmes are constantly relevant and updated (regarding current and emerging technological developments, changes to the threat landscape, legal regulations and national security directives)</t>
  </si>
  <si>
    <t>We have national research labs and educational institutions specialized in cybersecurity</t>
  </si>
  <si>
    <t>We have established academic centres of excellence in cybersecurity to act as hubs of research and education</t>
  </si>
  <si>
    <t>Academic institutions currently participate in leading discussions in the area of cybersecurity education and research at an international level</t>
  </si>
  <si>
    <t>Mechanisms have already been proposed to the relevant ministry/authority and they are in progress of being approved</t>
  </si>
  <si>
    <t>We have not performed such kind of actions</t>
  </si>
  <si>
    <t>We define R&amp;D priorities in accordance to current and/or upcoming regulation at national level</t>
  </si>
  <si>
    <t>We established a local and/or regional start-up ecosystems and other networking channels to foster innovation which also include cybersecurity</t>
  </si>
  <si>
    <t>We have a process to map and promote R&amp;D activities at national level</t>
  </si>
  <si>
    <t>We do not involve academia nor private sector in such activities</t>
  </si>
  <si>
    <t>There is industry representation at universities to bridge research with market needs</t>
  </si>
  <si>
    <t>There are joint public and private investment in R&amp;D programmes</t>
  </si>
  <si>
    <t>There are cooperation agreements between universities and with other research facilities and the industry</t>
  </si>
  <si>
    <t>Energy</t>
  </si>
  <si>
    <t>Transport</t>
  </si>
  <si>
    <t>Banking</t>
  </si>
  <si>
    <t>Financial market infrastructures</t>
  </si>
  <si>
    <t>Health</t>
  </si>
  <si>
    <t>Drinking water</t>
  </si>
  <si>
    <t>Waste water (NIS2)</t>
  </si>
  <si>
    <t>Digital infrastructures</t>
  </si>
  <si>
    <t>ICT service management (business-to-business) (NIS2)</t>
  </si>
  <si>
    <t>Public administration (NIS2)</t>
  </si>
  <si>
    <t>Space (NIS2)</t>
  </si>
  <si>
    <t>None of the above</t>
  </si>
  <si>
    <t>Postal and courier services</t>
  </si>
  <si>
    <t>Waste management</t>
  </si>
  <si>
    <t>Manufacture, production and distribution of chemicals</t>
  </si>
  <si>
    <t>Production, processing and distribution of food</t>
  </si>
  <si>
    <t>Digital providers (online marketplaces, search engines and social networks)</t>
  </si>
  <si>
    <t>Research</t>
  </si>
  <si>
    <t>An international engagement strategy/plan has been defined</t>
  </si>
  <si>
    <t>Public leadership expressed intention to engage in international cooperation in the field of cybersecurity</t>
  </si>
  <si>
    <t>We have dedicated people involved in international cooperation</t>
  </si>
  <si>
    <t>National cybersecurity public agencies in my country are involved in international cooperation schemes</t>
  </si>
  <si>
    <t>We assess on a regular basis the outcomes of international cooperation initiatives</t>
  </si>
  <si>
    <t>No cooperation mechanisms have been established</t>
  </si>
  <si>
    <t>Informal cooperation channels with other countries have been established</t>
  </si>
  <si>
    <t>Cooperation agreements / partnerships with other countries have been established (bilateral, multilateral) e.g. information sharing, capacity-building, assistance…</t>
  </si>
  <si>
    <t>International treaties or conventions in the area of cybersecurity have been signed / ratified, e.g. International Code of Conduct for Information Security, Convention on Cybercrime</t>
  </si>
  <si>
    <t>We do not share such kind of information with other countries</t>
  </si>
  <si>
    <t>Define and implement policies on risk analysis and cybersecurity</t>
  </si>
  <si>
    <t>Incident handling</t>
  </si>
  <si>
    <t>Business continuity (procedures to rebuild critical systems), crisis anticipation / management, business continuity without IT, air gap backup procedures…</t>
  </si>
  <si>
    <t>Supply chain security, including security-related aspects concerning the relationships between each entity and its direct suppliers or service providers (e.g. application of security standards to ensure baseline information security requirements for ICT providers, certification scheme for ICT-based products and services, detection probes in key elements in the supply chain to detect early sign of compromise, etc.)</t>
  </si>
  <si>
    <t>Security in network and information systems acquisition, development and maintenance, including vulnerability handling and disclosure</t>
  </si>
  <si>
    <t>Policies and procedures to assess the effectiveness of cybersecurity risk-management measures</t>
  </si>
  <si>
    <t>Basic cyber hygiene practices and cybersecurity training</t>
  </si>
  <si>
    <t>Policies and procedures regarding the use of cryptography and, where appropriate, encryption</t>
  </si>
  <si>
    <t>Human resources security, access control policies and asset management</t>
  </si>
  <si>
    <t>Please indicate the share of important/essential entities from which data regarding measures (in general) are in place within your country:</t>
  </si>
  <si>
    <t>National level cybersecurity trainings</t>
  </si>
  <si>
    <t>Cybersecurity exercises at national and international level</t>
  </si>
  <si>
    <t>We have an established process to review, update and adapt the exercises program in order to incorporate lessons learnt and new arising testing needs</t>
  </si>
  <si>
    <t>Dedicated cybercrime establishment within law enforcement and prosecution offices</t>
  </si>
  <si>
    <t>Establishment of a national reporting scheme for major cyber incidents</t>
  </si>
  <si>
    <t>Establishment of operational cooperation mechanisms against cybercrime</t>
  </si>
  <si>
    <t>Incident reporting implementation</t>
  </si>
  <si>
    <t>Cybersecurity in higher education</t>
  </si>
  <si>
    <t>Cybersecurity in R&amp;D priorities and initiatives</t>
  </si>
  <si>
    <t>National and international cooperation for cybersecurity R&amp;D</t>
  </si>
  <si>
    <t>Coverage of essential sectors by national  legislation</t>
  </si>
  <si>
    <t xml:space="preserve">Coverage of coordinated vulnerability disclosure policies </t>
  </si>
  <si>
    <t>Establishment of international cooperation mechanisms</t>
  </si>
  <si>
    <t>International cooperation on cybersecurity</t>
  </si>
  <si>
    <t>Baseline cyber security risk management measures for essential/important entities</t>
  </si>
  <si>
    <t>Definition and compliance of cybersecurity baseline(s) for essential and important entities</t>
  </si>
  <si>
    <t>Identification of essential and important entities</t>
  </si>
  <si>
    <t>Have you defined a process to identify essential/important entities that are SMEs, e.g. due to their criticality or specific importance at national or regional level?</t>
  </si>
  <si>
    <t>Please indicate how often the list of essential and important entities will be updated</t>
  </si>
  <si>
    <t>No, but we are in the process of doing so</t>
  </si>
  <si>
    <t>Less frequently than every two years</t>
  </si>
  <si>
    <t>Every two years</t>
  </si>
  <si>
    <t>More frequently than every two years</t>
  </si>
  <si>
    <t xml:space="preserve">Implementation of EU legislation on cybersecurity  </t>
  </si>
  <si>
    <t>Level of transposition of Directive (EU) 2018/1972 establishing the European Electronic Communications Code (EECC)</t>
  </si>
  <si>
    <t xml:space="preserve">Level of transposition of Directive (EU) 2014/53 on the harmonisation of the laws of the Member States relating to the making available on the market of radio equipment (RED Directive) </t>
  </si>
  <si>
    <t xml:space="preserve">Level of transposition of Directive (EU) 2022/2555 on measures for a high common level of cybersecurity across the Union (NIS2) </t>
  </si>
  <si>
    <t>Level of implementation of Regulation (EU) 2022/2554 on digital operational resilience for the financial sector (DORA)</t>
  </si>
  <si>
    <t>Level of implementation of the Electricity Network Code for cybersecurity aspects of cross-border electricity flows (https://www.entsoe.eu/network_codes/nccs/)</t>
  </si>
  <si>
    <t>Level of implementation of Implementing Regulation (EU) 2023/203 of 27 October 2022 laying down rules for the identification and management of information security risks in aviation organisations and aviation competent authorities</t>
  </si>
  <si>
    <t>100%</t>
  </si>
  <si>
    <t>70%</t>
  </si>
  <si>
    <t>0%</t>
  </si>
  <si>
    <t>40%</t>
  </si>
  <si>
    <t>The coverage and implementation of objectives in national cybersecurity strategy</t>
  </si>
  <si>
    <t>Indicate whether the objective has been covered either in the national cybersecurity strategy, or other relevant pieces of legislation</t>
  </si>
  <si>
    <t>Indicate whether an action plan in order to address the subject/topic of objective has been defined</t>
  </si>
  <si>
    <t>Indicate whether an action plan in order to address the subject/topic of objective has been implemented</t>
  </si>
  <si>
    <t>Implementation of supervisory measures for essential and important entities</t>
  </si>
  <si>
    <t>1. Develop national cyber contingency plans</t>
  </si>
  <si>
    <t>2. Establish baseline security measures</t>
  </si>
  <si>
    <t xml:space="preserve">3. Secure digital identity and build trust in digital public services </t>
  </si>
  <si>
    <t xml:space="preserve">4. Establish an incident response capability </t>
  </si>
  <si>
    <t>5. Raise user awareness</t>
  </si>
  <si>
    <t>6. Organise cyber security exercises</t>
  </si>
  <si>
    <t>7. Strengthen training and educational programmes</t>
  </si>
  <si>
    <t>8. Foster R&amp;D</t>
  </si>
  <si>
    <t>9. Provide incentives for the private sector to invest in security measures</t>
  </si>
  <si>
    <t>10. Improve the cybersecurity of the supply chain</t>
  </si>
  <si>
    <t>11. Protect essential and important entities</t>
  </si>
  <si>
    <t xml:space="preserve">12. Address cybercrime </t>
  </si>
  <si>
    <t>13. Establish incident reporting mechanisms</t>
  </si>
  <si>
    <t>14. Balance security with privacy</t>
  </si>
  <si>
    <t>15. Establish a public-private partnership (PPP)</t>
  </si>
  <si>
    <t>16. Institutionalise cooperation between public agencies</t>
  </si>
  <si>
    <t>17. Engage in international cooperation (not only with EU MS)</t>
  </si>
  <si>
    <t>Not covered, nor planned to be covered in the next edition</t>
  </si>
  <si>
    <t>Not covered, but planned to be covered in the next edition</t>
  </si>
  <si>
    <t xml:space="preserve">Partially covered </t>
  </si>
  <si>
    <t>Fully covered</t>
  </si>
  <si>
    <t>Mechanisms in place to detect environmental developments that might impact objective coverage (e.g. need for objective update, inclusion, etc.)</t>
  </si>
  <si>
    <t>Not yet defined</t>
  </si>
  <si>
    <t>Informal practices / activities to reaching the objective are informally defined or their definition is in progress</t>
  </si>
  <si>
    <t>Intended results / guiding principles / key activities of action plan are informally defined or their definition is in progress</t>
  </si>
  <si>
    <t>Formally defined and documented</t>
  </si>
  <si>
    <t>Formally defined, documented and includes resource allocation and governance</t>
  </si>
  <si>
    <t>Action plan is not yet defined</t>
  </si>
  <si>
    <t>Action plan is defined but not yet implemented</t>
  </si>
  <si>
    <t>Action plan is implemented and effective on a limited scope</t>
  </si>
  <si>
    <t>Action plan is implemented and effective totally covering the objective</t>
  </si>
  <si>
    <t>Action plan is reviewed to test its performance and ensure correct prioritisation and optimisation</t>
  </si>
  <si>
    <t>Mechanisms in place to ensure the action plan is dynamically adapted to environmental developments</t>
  </si>
  <si>
    <t>Cooperation at a national level</t>
  </si>
  <si>
    <t xml:space="preserve">Participation by essential and important entities in a national or EU-level ISAC </t>
  </si>
  <si>
    <t>Threat monitoring at national level</t>
  </si>
  <si>
    <t>Coverage of vulnerability disclosure policies</t>
  </si>
  <si>
    <t>Implementation of cybersecurity EU legislation</t>
  </si>
  <si>
    <t>Coverage and implementation of objectives in national cybersecurity strategy</t>
  </si>
  <si>
    <t>accordion</t>
  </si>
  <si>
    <t>NAs do not provide such kind of training at a national level</t>
  </si>
  <si>
    <t>NAs still not offer such kind of training, but we are planning / in the process of doing so</t>
  </si>
  <si>
    <t>NAs organise annual information security events (e.g. hacking contests or hackathons)</t>
  </si>
  <si>
    <t>NAs encourage/fund dedicated cybersecurity courses and training plans for employees member-state employment agencies</t>
  </si>
  <si>
    <t>NAs urge personnel in the private and public sector to be accredited or certified</t>
  </si>
  <si>
    <t>NAs assess the skill gap (cybersecurity workers shortage) in the area of information security on a regular basis</t>
  </si>
  <si>
    <t>NAs have mechanisms in place to ensure that training programmes are constantly relevant regarding current and emerging technological developments, changes to the threat landscape, legal regulations and national security directives</t>
  </si>
  <si>
    <t>Indicate the actions performed by national authorities (NAs) in order to provide cybersecurity training to employees from public and private sector (select all that apply)</t>
  </si>
  <si>
    <t>No specialised training of the sort is provided</t>
  </si>
  <si>
    <t>We do not have such kind of tools</t>
  </si>
  <si>
    <t>We have established advanced mechanisms in place to deter individuals from being attracted to, or becoming involved in, cybercrime</t>
  </si>
  <si>
    <t>Indicate whether you have tools and associated procedures to address cybercrime, e.g. cybercrime taxonomy and classification, tools to collect electronic evidence, computer forensics tools, trusted sharing platforms...</t>
  </si>
  <si>
    <t>Do you conduct cybersecurity exercises at a national / pan-European level or multi-lateral exercises? Select all that apply</t>
  </si>
  <si>
    <t>Yes, we conduct multi-lateral exercises</t>
  </si>
  <si>
    <t>Exercise program lifecycle: Do you have an established and coordinated cybersecurity exercise program / plan at the national level? (select all that apply)</t>
  </si>
  <si>
    <t>We have identified and assigned a coordinating body to oversee the design and planning of cybersecurity exercises (public agency, consultancy, etc.)</t>
  </si>
  <si>
    <t>Exercise typology and diversity: Please indicate whether you organise exercises of the following types (select all that apply)</t>
  </si>
  <si>
    <t>Indicate which steps you have taken to have a dedicated establishment within national law enforcement that tackles cybercrime (select all that apply)</t>
  </si>
  <si>
    <t>We have not taken any kind of action in this regard</t>
  </si>
  <si>
    <t>There is at least one unit dedicated to cybercrime within our LEA (Law Enforcement Agency)</t>
  </si>
  <si>
    <t>Indicate which steps you have taken to have a dedicated establishment within national prosecution offices that tackles cybercrime (select all that apply)</t>
  </si>
  <si>
    <t>We have identified the prosecutors and judges requirements (legal basis, resources, skills…) to effectively address cybercrime</t>
  </si>
  <si>
    <t>Has your country identified and designated a point of contact which is operational 24/7 according to the applicable legislation? (Select all that apply)</t>
  </si>
  <si>
    <t>No, we have not</t>
  </si>
  <si>
    <t>Yes, in accordance to Art. 35. of the Budapest Convention</t>
  </si>
  <si>
    <t>Yes, in order to respond to major cyber-attacks according to the EU Law Enforcement Emergency Response Protocol (EU LE ERP)</t>
  </si>
  <si>
    <t>Indicate which steps your country has taken to establish national coordination mechanisms in the area of cybercrime (Select all that apply)</t>
  </si>
  <si>
    <t>Cooperation mechanisms between relevant national institutions involved have been established, including between law enforcement authorities (LEA) and national CSIRTs</t>
  </si>
  <si>
    <t>Existence of structures at national level for coordination between Cybersecurity and Cybercrime (e.g., Cybersecurity Coordination Office linking the world of Cybersecurity with the world of Cybercrime)</t>
  </si>
  <si>
    <t>A clear segregation of duties across CSIRTs, LEAs and the judiciary (prosecutors and judges) when they cooperate for addressing cybercrimes has been made</t>
  </si>
  <si>
    <t>External sharing and cooperation: Indicate whether your country cooperates and shares information with other countries in the area of cybercrime (Select all that apply)</t>
  </si>
  <si>
    <t>Yes, we participate in coordinated actions at international level to disrupt criminal activities e.g. infiltration of criminal hacking forums, organised cybercrime groups, dark web markets and botnets takedowns...</t>
  </si>
  <si>
    <t>Indicate which steps have been taken to define cybersecurity R&amp;D priorities at the national level, e.g. emerging technologies/methods to deter, protect, detect and adapt to new types of cyber threats (Select all that apply)</t>
  </si>
  <si>
    <t>We have not taken any steps</t>
  </si>
  <si>
    <t>We have established a process to identify R&amp;D priorities for cybersecurity</t>
  </si>
  <si>
    <t>We involve the private sector in identifying R&amp;D priorities for cybersecurity</t>
  </si>
  <si>
    <t>We involve academia and research organisations in identifying R&amp;D priorities for cybersecurity</t>
  </si>
  <si>
    <t>Indicate which steps have been taken to support and promote cybersecurity R&amp;D activities at national level (select all that apply)</t>
  </si>
  <si>
    <t>We have a dedicated R&amp;D strategy and funding programme for cybersecurity</t>
  </si>
  <si>
    <t>There is a recognised institutional body overseeing cybersecurity R&amp;D activities</t>
  </si>
  <si>
    <t>We have aligned our R&amp;D strategy to relevant EU strategic objectives (e.g. Horizon Europe, Digital Europe Programme, EU cybersecurity strategy)</t>
  </si>
  <si>
    <t>Indicate the level of involvement of academia and private sector in cybersecurity R&amp;D activities at national level (Select all that apply)</t>
  </si>
  <si>
    <t>Indicate the level of international engagement in R&amp;D activities for cybersecurity (Select all that apply)</t>
  </si>
  <si>
    <t>We do not engage in R&amp;D activities on cybersecurity at an international level at an international level</t>
  </si>
  <si>
    <t>We incentivise academia and industry to cooperate internationally on R&amp;D activities e.g with dedicated initiatives to inform them about EU/international funding</t>
  </si>
  <si>
    <t>We participate in discussions in one or more cutting-edge R&amp;D topics at international level e.g. participation in the definition of strategic research agenda for the awarding of funding; participation in EU/international flagship projects</t>
  </si>
  <si>
    <t>Please indicate whether your country has adopted national legislation setting cybersecurity requirements for the following NIS2 sectors of high criticality (select all that apply)</t>
  </si>
  <si>
    <t>Please indicate whether your country has adopted national legislation setting cybersecurity requirements for the following NIS2 other critical sectors (select all that apply)</t>
  </si>
  <si>
    <t>Manufacturing (medical devices, computer, electronic and optical products, electrical equipment, motor vehicles, transport equipment)</t>
  </si>
  <si>
    <t>Please indicate whether the following NIS2 sectors of high criticality are covered by coordinated vulnerability disclosure policies set up at the MS level (select all that apply)</t>
  </si>
  <si>
    <t>Please indicate whether the following NIS2 other critical sectors are covered by coordinated vulnerability disclosure policies set up at the MS level (select all that apply)</t>
  </si>
  <si>
    <t>We do not have a national CVD policy</t>
  </si>
  <si>
    <t>We are in the process of defining a national CVD policy</t>
  </si>
  <si>
    <t>The national CVD policy has been defined, but implementation measures have not been adopted yet/they are not operational</t>
  </si>
  <si>
    <t>The national CVD policy has been defined and specific implementation measures are operational e.g. the coordinator is defined, the process for receiving notification of vulnerabilites</t>
  </si>
  <si>
    <t>There is an official process to periodically review and update the implemented national CVD policy</t>
  </si>
  <si>
    <t>Indicate which steps your country has taken to develop and implement national vulnerability disclosure policies. Select all that apply</t>
  </si>
  <si>
    <t>Indicate the progress of actions performed internally at a national level for establishing cooperation with other countries (select all that apply)</t>
  </si>
  <si>
    <t>Indicate the progress of establishment cooperation mechanisms with other countries (select all that apply)</t>
  </si>
  <si>
    <t>A single point of contact has been assigned that can exercise a liaison function to ensure cross-border cooperation with Member State authorities (cooperation group, CSIRTs network...)</t>
  </si>
  <si>
    <t>Mutual assistance agreements have been established with other countries, e.g. LEAs activities, legal proceedings, mutualisation of incident response capabilities, sharing cybersecurity assets...</t>
  </si>
  <si>
    <t>At which level does your country exchange information with other countries? (select all that apply)</t>
  </si>
  <si>
    <t>Discussion leading: does your country lead discussions on cybersecurity topics (e.g. establishing of norms, intelligence exchenge...) in one or more fora?</t>
  </si>
  <si>
    <t>Strategic level (e.g. High-level policy, risk perception...)</t>
  </si>
  <si>
    <t>Tactical level (e.g. threat actors bulletin, ISACs, TTPs...)</t>
  </si>
  <si>
    <t>Operational level (e.g. operational coordination information, ongoing incidents, IOCs...)</t>
  </si>
  <si>
    <t>No, we do not play leader role in this type of discussion</t>
  </si>
  <si>
    <t>Yes, we do within multilateral agreements</t>
  </si>
  <si>
    <t>Yes, we do within international treaties or conventions</t>
  </si>
  <si>
    <t>Yes, we do within international groups of experts, e.g. The Global Commission on the Stability of Cyberspace (GCSC), NIS cooperation group</t>
  </si>
  <si>
    <t>There is no predefined taxonomy for classification of cybersecurity incidents at the national level</t>
  </si>
  <si>
    <t>The definition of a taxonomy for classification of cybersecurity incidents at a national level is in the process of being defined</t>
  </si>
  <si>
    <t>A taxonomy for classification of cybersecurity the national level has been defined and documented</t>
  </si>
  <si>
    <t>A taxonomy for classification of cybersecurity incidents at the national level has been defined, documented and is kept up to date</t>
  </si>
  <si>
    <t>Indicate whether there is at the national level a predefined taxonomy for classification of cybersecurity incidents</t>
  </si>
  <si>
    <t>Scheme establishment: Which steps have you taken to establish a national incident reporting scheme? (select all that apply)</t>
  </si>
  <si>
    <t>No steps have been taken in this regard</t>
  </si>
  <si>
    <t>Sectorial notification requirements: please indicate whether your country has implemented the notification requirements in compliance with the following regulations (select all that apply)</t>
  </si>
  <si>
    <t>Reporting process and tools: What are the steps you have taken in order to facilitate and improve the reporting experience? (select all that apply)</t>
  </si>
  <si>
    <t>The effectiveness of incident reporting procedures is measured e.g. indicators on incidents that have been reported through the appropriate channels, timing of the incident report...</t>
  </si>
  <si>
    <t>Do you gather data about the participation of essential and important entities in EU or national-level Information Sharing and Analysis Centers (ISACs)?</t>
  </si>
  <si>
    <t>What was the share of essential and important entities in your country that was a member of at least one national or EU-level ISAC?</t>
  </si>
  <si>
    <t>Does your country have means (e.g. dedicated tools, reports…) to monitor the current cybersecurity threat level at the national level?</t>
  </si>
  <si>
    <t>Indicate the steps your country has taken in order to promote and include cybersecurity in higher levels of education (Select all that apply)</t>
  </si>
  <si>
    <t>We train educators, independently of their field, on information security and privacy issues (e.g. online safety, personal data protection, cyber-bullying...)</t>
  </si>
  <si>
    <t>We actively promote the addition of information security courses in higher education not only for computer science students but also to any other professional specialty (e.g. courses tailored to the needs of that profession)</t>
  </si>
  <si>
    <t>We involve the private sector in cybersecurity education initiatives (e.g. course design and delivery, internships, work placements...)</t>
  </si>
  <si>
    <t>We assist third level institutions in their provision of information security courses</t>
  </si>
  <si>
    <t>Indicate the steps your country has taken in order to establish institutions aimed to promote and enhance cybersecurity in higher education (Select all that apply)</t>
  </si>
  <si>
    <t>We have not taken any step in this regard</t>
  </si>
  <si>
    <t>We foster networking and information sharing between academic institutions, both at national and international level</t>
  </si>
  <si>
    <t>Has your country implemented funding mechanisms to encourage the uptake of cybersecurity degrees (e.g. scholarships, guaranteed apprenticeship/internship, guaranteed jobs in specific industry or roles in public sector, etc.)?</t>
  </si>
  <si>
    <t>We have started the process to set up funding mechanisms</t>
  </si>
  <si>
    <t>Funding mechanisms to encourage the uptake of cybersecurity degrees are in place and used</t>
  </si>
  <si>
    <t>Has your country integrated cybersecurity in your national curricula for primary education?</t>
  </si>
  <si>
    <t>Level of transposition of Directive (EU) 2014/53 on the harmonisation of the laws of the Member States relating to the making available on the market of radio equipment (RED Directive)</t>
  </si>
  <si>
    <t>Level of transposition of Directive (EU) 2022/2555 on measures for a high common level of cybersecurity across the Union (NIS2)</t>
  </si>
  <si>
    <t>Which of the following measures are mandatory for essential and important entities according to national legislation in your country (e.g. NIS2 transposition, sectorial legislation etc.) Select all that apply</t>
  </si>
  <si>
    <t>The use of multi-factor authentication or continuous authentication solutions, secured voice, video and text communications and secured emergency communication systems within the entity, where appropriate</t>
  </si>
  <si>
    <t>Please indicate the share of important/essential entities from which data regarding measures (in general) are in place within your country</t>
  </si>
  <si>
    <t>What steps has your country taken to define cybersecurity baseline(s) for essential and critical entities at national level?</t>
  </si>
  <si>
    <t>No activity regarding cybersecurity baseline(s) has been performed</t>
  </si>
  <si>
    <t>Cybersecurity baseline requirements are in the process of being identified</t>
  </si>
  <si>
    <t>Cybersecurity baseline requirements have been identified and are in the process of being documented</t>
  </si>
  <si>
    <t>Cybersecurity baseline has been officially documented and established</t>
  </si>
  <si>
    <t>There is an informal process to manage / update the cybersecurity baseline</t>
  </si>
  <si>
    <t>There is an official process to periodically review and update the cybersecurity baseline</t>
  </si>
  <si>
    <t>Does your country have mechanisms in place to measure the compliance level of essential and important entities with regards to baseline cybersecurity measures?</t>
  </si>
  <si>
    <t>No mechanisms are in place</t>
  </si>
  <si>
    <t>Only self-assessment information is gathered</t>
  </si>
  <si>
    <t>Informal/Ad-hoc mechanisms are in place to check compliance</t>
  </si>
  <si>
    <t>There is a supervisory authority at country level that ensures such compliance e.g. performs regular cybersecurity audits, establishes a national framework for the implementation of standard measures, etc.</t>
  </si>
  <si>
    <t>Independent third-party audit is required</t>
  </si>
  <si>
    <t>There is an established process to periodically check such compliance and the implementation of improvement actions from past checks</t>
  </si>
  <si>
    <t>Please indicate the % of essential and important entities for which all required information has been collected as per Art. 3.4 of NIS2 in your country</t>
  </si>
  <si>
    <t>Please indicate the share of operators in scope of NIS2 subjected to supervisory measures by national competent authorities</t>
  </si>
  <si>
    <t>Data not available/Not willing to share</t>
  </si>
  <si>
    <t>Indicate whether there are at the national level predefined thresholds for the evaluation of cybersecurity incidents</t>
  </si>
  <si>
    <t>There are no predefined thresholds for the evaluation of cybersecurity incidents at the national level</t>
  </si>
  <si>
    <t>The thresholds for the evaluation of cybersecurity incidents at the national level are in the process of being defined</t>
  </si>
  <si>
    <t>The thresholds for the evaluation of cybersecurity incidents at the national level have been defined and documented</t>
  </si>
  <si>
    <t>The thresholds for the evaluation of cybersecurity incidents at the national level have been defined, documented, and are kept up to date</t>
  </si>
  <si>
    <t>Have you taken any action to ensure that your competent authorities under Directive (EU) 2022/2555 (NIS2) exchange relevant information on a regular basis with the competent authorities under the following Directives/Regulations, including with regard to relevant incidents and cyber threats?</t>
  </si>
  <si>
    <t>We have started to discuss how to integrate cybersecurity in national curricula for primary education</t>
  </si>
  <si>
    <t>We have a process in place to ensure that national curricula are constantly relevant and updated with regards to cybersecurity</t>
  </si>
  <si>
    <t>We have started to discuss how to integrate cybersecurity in national curricula for secondary education</t>
  </si>
  <si>
    <t>We have a process in place to ensure that national curricula keep being relevant and updated with regards to cybersecurity</t>
  </si>
  <si>
    <t>We are in progress of defining specific actions</t>
  </si>
  <si>
    <t>Yes, appropriate cooperation mechanisms have been established</t>
  </si>
  <si>
    <t>No updates are foreseen</t>
  </si>
  <si>
    <t xml:space="preserve">Please indicate whether the following NIS2 sectors of high criticality are covered by coordinated vulnerability disclosure policies set up at the MS level </t>
  </si>
  <si>
    <t>Please indicate whether the following NIS2 other critical sectors are covered by coordinated vulnerability disclosure policies set up at the MS level</t>
  </si>
  <si>
    <t>Please indicate the % of essential and important entities for which all required information has been collected as per Art. 3.4 of NIS2 in your country:</t>
  </si>
  <si>
    <t>We do not perform such kind of monitoring</t>
  </si>
  <si>
    <t>#</t>
  </si>
  <si>
    <t>1.a</t>
  </si>
  <si>
    <t>Area-revised</t>
  </si>
  <si>
    <t>Capacity</t>
  </si>
  <si>
    <t>Suba-area-revised</t>
  </si>
  <si>
    <t>Indicator Name</t>
  </si>
  <si>
    <t>Indicator description/Algorithm (click on the hyperlink for indicators collected through the MS survey + Shodan)</t>
  </si>
  <si>
    <t xml:space="preserve">IndicatorSource </t>
  </si>
  <si>
    <t>Link</t>
  </si>
  <si>
    <t>Cyber hygiene</t>
  </si>
  <si>
    <t>Enterprises: ICT security measures</t>
  </si>
  <si>
    <t>Weighted value of 8 Eurostat variables =
•	Share of enterprises using strong password authentication (E_SECMSPSW)
•	ICT security measure used: combination of at least two authentication mechanisms (e.g. user-defined password, one-time password (OTP), code generated via a security token or received via a smartphone, biometric methods) (E_SECMDUO)
•	Share  of enterprises using encryption techniques for data, documents or e-mails (E_SECMDENC)
•	Share of enterprises using data backup to a separate location (including backup to the cloud) (E_SECMOSBU)
•	Share of enterprises using network access control (management of access by devices and users to the enterprise's network) (E_SECMNAC)
•	Share of enterprises using VPN (Virtual Private Network extends a private network across a public network to enable secure exchange of data over public network) (E_SECMVPN)
•	Share of enterprises maintaining log files for analysis after security incidents (E_SECMLOG)
•	Share of enterprises performing ICT security tests (E_SECMTST)
Weight = 1/8 per variable</t>
  </si>
  <si>
    <t>Eurostat</t>
  </si>
  <si>
    <t>https://ec.europa.eu/eurostat/databrowser/view/ISOC_CISCE_RA/default/table</t>
  </si>
  <si>
    <t>Privacy and protection of personal data: citizens </t>
  </si>
  <si>
    <t>Share of individuals that managed access to personal data on the internet by performing at least one of the following actions: 
• read privacy policy statements before providing personal data
• restricted or refused access to the geographical location
• limited access to profile or content on social networking sites or shared online storage
• refused allowing the use of personal data for advertising purposes
• checked that the website where personal data provided was secure
(Eurostat value for variable I_MAPS_5 corresponding to the % of individuals that manage access to personal data on the internet (3 months) by performing at least one of the following actions: I_MAPS_RPS, I_MAPS_RRGL, I_MAPS_LAP, I_MAPS_RAAD, I_MAPS_CWSC)</t>
  </si>
  <si>
    <t>https://ec.europa.eu/eurostat/databrowser/view/isoc_cisci_prv20/default/table?lang=en</t>
  </si>
  <si>
    <t>Secure internet use by citizens</t>
  </si>
  <si>
    <t>Share of Internet users who changed the way they use the internet due to security concerns</t>
  </si>
  <si>
    <t>Eurobarometer</t>
  </si>
  <si>
    <t>https://data.europa.eu/data/datasets/s2249_92_2_499_eng?locale=en</t>
  </si>
  <si>
    <t>SMEs: ICT security measures</t>
  </si>
  <si>
    <t>Cybersecurity awareness and education</t>
  </si>
  <si>
    <t xml:space="preserve">Cybersecurity (curricula) graduates in higher education </t>
  </si>
  <si>
    <t>Cybersecurity graduates in higher education = 
       Count of cybersecurity graduates in higher education curricula / per 1M Population in a country</t>
  </si>
  <si>
    <t>ENISA - CyberHead</t>
  </si>
  <si>
    <t>https://www.enisa.europa.eu/topics/cybersecurity-education/education-map</t>
  </si>
  <si>
    <t>Enterprises: Staff Awareness</t>
  </si>
  <si>
    <t>Share of of enterprises make persons employed aware of their obligations in ICT security related issues
(Eurostat value for variable E_SECAWANY "Enterprises make persons employed aware of their obligations in ICT security related issues")</t>
  </si>
  <si>
    <t>Knowledge of cybersecurity matters by citizens</t>
  </si>
  <si>
    <t>Weighted values of 2 Eurobarometer variables =  
•	Share of internet users who feel very-well/well informed about the risks of cybercrime 
•	Share of internet users who are aware of the existence of a website, email address, online form, or contact number in their country where they can report a cybercrime or any other illegal online behaviour (e.g. cyberattack, online harassment or bullying)
Weight: 1/2 for each variable</t>
  </si>
  <si>
    <t>SMEs: Awareness training</t>
  </si>
  <si>
    <t>Weighted values of 3 Eurobarometer variables = 
•	Share of SMEs that provided their employees with training or awareness raising about the risks of cybercrime in the last 12 months 
•	Share  of SMEs whose management feels that they are very well/well informed about the risks of cybercrime 
•	Share of SMEs whose employees feel that they are very well/well informed about the risks of cybercrime
Weight = 1/3 per variable</t>
  </si>
  <si>
    <t>https://data.europa.eu/data/datasets/s2280_fl496_eng?locale=en</t>
  </si>
  <si>
    <t>Coverage</t>
  </si>
  <si>
    <t>Report Year</t>
  </si>
  <si>
    <t>MS</t>
  </si>
  <si>
    <t>4.b</t>
  </si>
  <si>
    <t>SMEs: Staff Awareness</t>
  </si>
  <si>
    <t>Share of enterprises that make persons employed aware of their obligations in ICT security related issues
(Eurostat value for variable E_SECAWANY " Enterprises make persons employed aware of their obligations in ICT security related issues")</t>
  </si>
  <si>
    <t>Cybersecurity skills</t>
  </si>
  <si>
    <t>Country share of EU R&amp;D funding</t>
  </si>
  <si>
    <t>Share of EU R&amp;D funding awarded per country for cybersecurity topics = EU Contribution for Horizon Europe calls related to cybersecurity in year n/EU contribution for HORIZON EUROPE calls per country in year n per 1K</t>
  </si>
  <si>
    <t>EC - Horizon Dashboard</t>
  </si>
  <si>
    <t>https://ec.europa.eu/info/funding-tenders/opportunities/portal/screen/opportunities/horizon-dashboard</t>
  </si>
  <si>
    <t>MS Survey</t>
  </si>
  <si>
    <t>Market/Industry</t>
  </si>
  <si>
    <t>Cybersecurity governance within organisations</t>
  </si>
  <si>
    <t xml:space="preserve">Enterprises: ICT security policy </t>
  </si>
  <si>
    <t>Share of enterprises that have document(s) on measures, practices or procedures on ICT security
(Eurostat value for the variable E_SECPOL2 "percentage of enterprises that have document(s) on measures, practices or procedures on ICT security")</t>
  </si>
  <si>
    <t>Number of organisations/enterprises certified with relevant ISO standards (ISO 22301:2019 - Business Continuity Management; ISO 28001:2007 - Security management systems for the supply chain; ISO/IEC 27001:2013)</t>
  </si>
  <si>
    <t xml:space="preserve">Indicator = average percentage of organisations with any of the three ISO certificates. ( (metric 1 + metric 2 + metric 3)/3 )
metric 1 = (Number of sites per country certified for ISO 22301:2019 / number of enterprises per country per 100K ) 
metric 2 = (Number of sites per country certified for ISO 27001:2013 / number of enterprises per country per 100K )
metric 3 = (Number of sites per country certified for ISO 28000:2007 / number of enterprises per country per 100K ) </t>
  </si>
  <si>
    <t>ISO</t>
  </si>
  <si>
    <t>https://www.iso.org/the-iso-survey.html</t>
  </si>
  <si>
    <t xml:space="preserve">Share of enterprises performing a risk assessment </t>
  </si>
  <si>
    <t>Supply chain management by essential and important entities</t>
  </si>
  <si>
    <t xml:space="preserve"> Average share per country of NIS investment study value for  surveyed essential/important entities  with third -party risk management policies</t>
  </si>
  <si>
    <t>ENISA-NIS Investments Report</t>
  </si>
  <si>
    <t>https://www.enisa.europa.eu/publications/nis-investments-2022</t>
  </si>
  <si>
    <t>Cybersecurity investments and innovation</t>
  </si>
  <si>
    <t>Cybersecurity Investments by surveyed essential/important entities as part of their overall IT Budget/Spending</t>
  </si>
  <si>
    <t>NIS investment study value for average share of information security budget spending by surveyed essential/important entities as part of their overall IT budget/spending</t>
  </si>
  <si>
    <t>Share of enterprises that buy security software applications as Cloud Computing Service</t>
  </si>
  <si>
    <t>Share of enterprises that buy security software applications (as a CC service)
(Eurostat value for the variable E_CC_PSEC "Enterprises that buy security software applications (as a CC service))</t>
  </si>
  <si>
    <t>https://ec.europa.eu/eurostat/databrowser/view/ISOC_CICCE_USE__custom_5809035/default/table?lang=en</t>
  </si>
  <si>
    <t>Share of enterprises that use AI technologies for ICT security</t>
  </si>
  <si>
    <t>Share of enterprises using AI technologies for ICT security
(Eurostat value for the variable E_AI_PITS "Enterprises use of AI technologies for ICT security")</t>
  </si>
  <si>
    <t>Statistics | Eurostat (europa.eu)</t>
  </si>
  <si>
    <t>Share of EU R&amp;D funding to SMEs</t>
  </si>
  <si>
    <t>Share of EU R&amp;D funding awarded to private SMEs for Horizon Europe calls related to cybersecurity = EU contribution to private SMEs for Horizon Europe calls related to cybersecurity per country in year n/EU contribution for Horizon Europe calls per country in year n per 1K</t>
  </si>
  <si>
    <t>Impact of cybersecurity incidents</t>
  </si>
  <si>
    <t>Security Incidents: Destruction or corruption of data (All Enterprises)</t>
  </si>
  <si>
    <t>Share of enterprises that did not experience ICT security related incidents leading to: destruction or corruption of data (e.g. due to infection of malicious software or unauthorised intrusion, hardware or software failures)
(100 - Eurostat value for the variable E_SEC2IDCD "Enterprises experienced ICT security related incidents leading to: destruction or corruption of data (e.g. due to infection of malicious software or unauthorised intrusion, hardware or software failures)")</t>
  </si>
  <si>
    <t>Security Incidents: Disclosure of confidential data (All Enterprises)</t>
  </si>
  <si>
    <t xml:space="preserve">Share of enterprises that did not experience ICT security related incidents leading to: disclosure of confidential data (e.g. due to intrusion, pharming, phishing attack, actions by own employees (intentionally or unintentionally))
(100 - Eurostat value for the variable E_SEC2ICNF "Enterprises experienced ICT security related incidents leading to: disclosure of confidential data (e.g. due to intrusion, pharming, phishing attack, actions by own employees (intentionally or unintentionally))")
</t>
  </si>
  <si>
    <t>Security Incidents: Unavailability of ICT Services (All Enterprises)</t>
  </si>
  <si>
    <t>Share of enterprises that did not experience ICT security related incidents leading to: unavailability of ICT services (e.g. Denial of Service attacks, ransomware attacks, hardware or software failures)
(100 -Eurostat value for the variable E_SEC2IUSV "Enterprises experienced ICT security related incidents leading to: unavailability of ICT services (e.g. Denial of Service attacks, ransomware attacks, hardware or software failures)")</t>
  </si>
  <si>
    <t>Impact of cybersecurity incidents (SMEs)</t>
  </si>
  <si>
    <t>Security Incidents: Destruction or corruption of data (SME)</t>
  </si>
  <si>
    <t xml:space="preserve">Share of enterprises (SMEs) that did not experience ICT security related incidents leading to: destruction or corruption of data (e.g. due to infection of malicious software or unauthorised intrusion, hardware or software failures)
(100 -  Eurostat value for the variable E_SEC2IDCD "Enterprises (SMEs) experienced ICT security related incidents leading to: destruction or corruption of data (e.g. due to infection of malicious software or unauthorised intrusion, hardware or software failures)")
</t>
  </si>
  <si>
    <t>Security Incidents: Disclosure of confidential data (SME)</t>
  </si>
  <si>
    <t xml:space="preserve">Share of enterprises (SMEs) that did not experience ICT security related incidents leading to: disclosure of confidential data (e.g. due to intrusion, pharming, phishing attack, actions by own employees (intentionally or unintentionally))"
(100 - Eurostat value for the variable E_SEC2ICNF "Enterprises (SMEs) experienced ICT security related incidents leading to: disclosure of confidential data (e.g. due to intrusion, pharming, phishing attack, actions by own employees (intentionally or unintentionally)")
</t>
  </si>
  <si>
    <t>Security Incidents: Unavailability of ICT Services (SME)</t>
  </si>
  <si>
    <t>Share of enterprises (SMEs)that did not experience ICT security related incidents leading to: unavailability of ICT services (e.g. Denial of Service attacks, ransomware attacks, hardware or software failures)
(100 -Eurostat value for the variable E_SEC2IUSV "Enterprises (SMEs) experienced ICT security related incidents leading to: unavailability of ICT services (e.g. Denial of Service attacks, ransomware attacks, hardware or software failures)")</t>
  </si>
  <si>
    <t>Operations</t>
  </si>
  <si>
    <t>National-level response preparedness</t>
  </si>
  <si>
    <t>Policy</t>
  </si>
  <si>
    <t xml:space="preserve">National-level threat and vulnerability management </t>
  </si>
  <si>
    <t xml:space="preserve">Cyber-attack surface nationwide </t>
  </si>
  <si>
    <t xml:space="preserve">1- average of the following variables normalised by IPs:
• Vulnerability - Number of IPs that are exposed to at least one vulnerability
• SSL Expired - Number of IPs with expired SSL certificate
• SSL Old Protocol - Number of IPs with old protocols
• SSL self-signed - Number of IPs with self-signed SSL
• OS Linux - Number of IPs with old OS Linux
• OS Windows - Number of IPs with old OS Windows
• Port - Number of IPs with Ports considered that should not be publicly available on Internet (port 23,161,68,69,80,81,110,137,389,445,3389,5353)
• Banner - Number of IPs with "authentication disabled” banner </t>
  </si>
  <si>
    <t>Shodan</t>
  </si>
  <si>
    <t>Share of compromised IPs, services and servers</t>
  </si>
  <si>
    <t>1 - average (normalised by number of IPs in a country) of:
- Title - Number of websites with title containing "hacked by" or ”0wn3d by”
- Banner - Number of IPs containing "hacked by" text in published banner
- Tag - Number of Compromised IPs, command and control seervers (C2) as marked by Shodan
- Product - Number of IPs with known security offensive tools like Cobalt Strike Beacon, Posh C2, Deimos C2, Empire C2, Brute Ratel C4</t>
  </si>
  <si>
    <t>Use of secure internet standards</t>
  </si>
  <si>
    <t>average (normalised by number of IPs in a country) of:
- SSL - Number of IPs using only modern TLS protocols without potential vulnerabilities, self-signed or expired certificates
- IPv6 - Number of IPs version6 without old SSL/TLS protocols, potential vulnerabilities, self-signed or expired certificates
- Banner - Number of websites with banners publishing “Content-Security Policy” without old SSL/TLS protocols, potential vulnerabilities, self-signed or expired certificates</t>
  </si>
  <si>
    <t>Vulnerability patching effectiveness</t>
  </si>
  <si>
    <t>Operational capabilities</t>
  </si>
  <si>
    <t>Certification of CSIRT(s) in a country</t>
  </si>
  <si>
    <t xml:space="preserve">Certification = # of Certified CSIRTs/CSIRTs Under re-Certification  in a country/# of CSIRTs in a country
</t>
  </si>
  <si>
    <t>CSIRTs Network</t>
  </si>
  <si>
    <t>Presence of a country's CSIRTs in the international cybersecurity arena</t>
  </si>
  <si>
    <t>International presence of CSIRTs = #of CSIRT Teams member of FIRST in country+#of CSIRT Teams listed-accredited-certified TI/ # of CSIRTs per country - average share of CSIRTs that are either FIRST members or L/C/A or both</t>
  </si>
  <si>
    <t>ENISA - CSIRTs by country map</t>
  </si>
  <si>
    <t>https://www.enisa.europa.eu/topics/csirts-in-europe/csirt-inventory/certs-by-country-interactive-map</t>
  </si>
  <si>
    <t>Operational cooperation</t>
  </si>
  <si>
    <t xml:space="preserve">Resilience of key operators </t>
  </si>
  <si>
    <t>E-communications resilience (EECC) - cases </t>
  </si>
  <si>
    <t>e-communication resilience (year X) based on serious incident cases = 
            RANK (# of serious incident cases reported per 1 M citizens: high to low) / #EU MS
# of serious incident cases reported per 1 M citizens = 
             # of serious incident cases reported by country for year X / Population size (M)</t>
  </si>
  <si>
    <t>ENISA - CIRAS tool</t>
  </si>
  <si>
    <t>Incident reporting — CIRAS (europa.eu)</t>
  </si>
  <si>
    <t>E-communications resilience (EECC) – duration </t>
  </si>
  <si>
    <t>e-communication resilience (year X) based on serious outage times = 
            RANK (SUM(serious outage times) /1 M citizens by country); high to low) / #EU MS</t>
  </si>
  <si>
    <t>E-trust services resilience (e-IDAS) - cases</t>
  </si>
  <si>
    <t>e-trust services resilience (year X) based on serious incident cases = 
            RANK (# serious of incident cases reported per 1 M citizens; high to low) / #EU MS, # of serious incident cases reported per 1 M citizens = 
             # of serious incident cases reported by country for year X / Population size (M)</t>
  </si>
  <si>
    <t>E-trust services resilience (e-IDAS) - duration </t>
  </si>
  <si>
    <t>e-communication resilience (year X) based on serious outage times = 
            RANK (SUM(outage times) /1 M citizens by country); high to low) / #EU MS</t>
  </si>
  <si>
    <t>Resilience of important/essential entities - cases</t>
  </si>
  <si>
    <t>Resilience of essential and important entities (year X) based on serious incident cases = 
            RANK (# of incident cases reported per 1 M citizens: high to low) / #EU MS
# of serious incident cases reported per 1 M citizens = 
             # of serious incident cases reported by country for year X / Population size (M)</t>
  </si>
  <si>
    <t>Coverage and enforcement of legal and regulatory framework</t>
  </si>
  <si>
    <t>Score (%) = SUM(state of eligible Directive)/TOTAL(number of eligible Directives)
State of eligible (cybersecurity related parts of) Directive/Regulation[i] =
- 100%  if the Directive is fully transposed (notification sent to the EC) and entered into force
- 70%  when legislation has been transposed (notification sent to the EC), but entry into effect is in the future.
- 40%  when national legislation partially covers Directive requirements, but full transposition is pending.
- 0%  otherwise</t>
  </si>
  <si>
    <t>International cooperation</t>
  </si>
  <si>
    <t>Alignment with the CoE Convention on Cybercrime </t>
  </si>
  <si>
    <t>Alignment = Aweight1 (40%) * Alignment CETS 185 + Aweight2 (40%) * Alignment CETS 189 + Aweight3 (20%) * Alignment CETS 224
 Alignment CETS 185 
If a country has signed AND ratified AND the convention has  entered into force date - 100%
else if a country has signed AND ratified - 80%
else if a country has signed - 15%
else 0  
Alignment CETS 189 
If a country has signed AND ratified AND the convention has  entered into force date - 100%
else if a country has signed AND ratified - 80%
else if a country has signed - 15%
else 0    Alignment CETS 224
If a country has signed AND ratified AND the convention has  entered into force date - 100%
else if a country has signed AND ratified - 80%
else if a country has signed - 15%
else 0  
Changes
The alignment to CETS 224 has been added with respect to the previous version for completeness. 
The Second Additional Protocol to the Convention on Cybercrime on enhanced co-operation and disclosure of electronic evidence (CETS No.224) provides a legal basis for disclosure of domain name registration information and for direct co-operation with service providers for subscriber information, effective means to obtain subscriber information and traffic data, immediate co-operation in emergencies, mutual assistance tools, as well as personal data protection safeguards</t>
  </si>
  <si>
    <t>Council of Europe</t>
  </si>
  <si>
    <t>https://www.coe.int/en/web/conventions/full-list/-/conventions/treaty/185?module=signatures-by-treaty&amp;treatynum=185, https://www.coe.int/en/web/conventions/full-list?module=signatures-by-treaty&amp;treatynum=189, https://www.coe.int/en/web/conventions/full-list?module=signatures-by-treaty&amp;treatynum=224</t>
  </si>
  <si>
    <t>National-level risk management</t>
  </si>
  <si>
    <t>Policies for knowledge and skills</t>
  </si>
  <si>
    <t>f</t>
  </si>
  <si>
    <t>l</t>
  </si>
  <si>
    <t>v</t>
  </si>
  <si>
    <t>u</t>
  </si>
  <si>
    <t>r</t>
  </si>
  <si>
    <t>q</t>
  </si>
  <si>
    <t>g</t>
  </si>
  <si>
    <t>m</t>
  </si>
  <si>
    <t>c</t>
  </si>
  <si>
    <t>d</t>
  </si>
  <si>
    <t>a</t>
  </si>
  <si>
    <t>b</t>
  </si>
  <si>
    <t>e</t>
  </si>
  <si>
    <t>k</t>
  </si>
  <si>
    <t>t</t>
  </si>
  <si>
    <t>s</t>
  </si>
  <si>
    <t>Electricity - Sector Cybersecurity Criticality</t>
  </si>
  <si>
    <t>Sector Criticality = Sum of assigned score per criticality dimension assessed during workshops held with relevant NIS CG WS and/or EU-level ISACs / Sum of maximum scores that could be assigned per criticality dimension * 100
Criticality in terms of the contribution of defined dimensions to how critical a sector is at EU-level.
Assessment based on expert opinions (gathered via workshops with established groups of national authorities and/or EU-level ISACs) and informed by facts and data</t>
  </si>
  <si>
    <t>ENISA</t>
  </si>
  <si>
    <t>NIS 360 assessment</t>
  </si>
  <si>
    <t>Electricity - Sector Cybersecurity Maturity</t>
  </si>
  <si>
    <t>Sector Maturity = Sum of assigned score per maturity dimension assessed during workshops held with relevant NIS CG WS and/or EU-level ISACs / Sum of maximum scores that could be assigned per maturity dimension * 100
Maturity in terms of the sector’s current status/progress against defined dimensions. 
Assessment based on expert opinions (gathered via workshops with established groups of national authorities and/or EU-level ISACs) and informed by facts and data</t>
  </si>
  <si>
    <t>Finance - Sector Cybersecurity Criticality</t>
  </si>
  <si>
    <t>Finance - Sector Cybersecurity Maturity</t>
  </si>
  <si>
    <t>Gas - Sector Cybersecurity Criticality</t>
  </si>
  <si>
    <t>Gas - Sector Cybersecurity Maturity</t>
  </si>
  <si>
    <t>Health - Sector Cybersecurity Criticality</t>
  </si>
  <si>
    <t>Health - Sector Cybersecurity Maturity</t>
  </si>
  <si>
    <t>Impact of incidents on  cloud service providers (CSPs) and cloud enablers</t>
  </si>
  <si>
    <t>Share of incidents that had no impact (supply- side)</t>
  </si>
  <si>
    <t>https://www.enisa.europa.eu/publications/cloud-cybersecurity-market-analysis
Page 48 - Figure 23: Impact of incidents, supply side</t>
  </si>
  <si>
    <t>Impact of incidents on users of cloud services</t>
  </si>
  <si>
    <t>Share of incidents that had no impact (demand-side)</t>
  </si>
  <si>
    <t>https://www.enisa.europa.eu/publications/cloud-cybersecurity-market-analysis
Page 47 - Figure 22: Demand-side experience with impactful incidents</t>
  </si>
  <si>
    <t>Implementation of cybersecurity measures by cloud service providers (CSPs) and cloud enablers</t>
  </si>
  <si>
    <t xml:space="preserve">Average share of companies that have implemented at least one of the following measures:
- Value added security services
- Incident detection and response
- Identity and access management
- Hardware security
- Data security
- Cloud native security and application security
- Cloud infrastructure security and security policy enforcement
- Antivirus and end-point protection
Page 44 - Figure 20: Time range of implementation, supply side
</t>
  </si>
  <si>
    <t>https://www.enisa.europa.eu/publications/cloud-cybersecurity-market-analysis
Page 44 - Figure 20: Time range of implementation, supply side</t>
  </si>
  <si>
    <t>Implementation of cybersecurity measures by end users of cloud services</t>
  </si>
  <si>
    <t xml:space="preserve">Average share of companies that have implemented at least one of the following measures:
- Incident and detection response
- Identity and access management
- Hardware security
- Data security
- Cloud native security and application security
- Could infrastructure security and policy enforcement
- Antivirus and malware protection
</t>
  </si>
  <si>
    <t>https://www.enisa.europa.eu/publications/cloud-cybersecurity-market-analysis
Page 44 - Figure 19: Time range of implementation, demand side</t>
  </si>
  <si>
    <t>Internet infrastructures - Sector Cybersecurity Criticality</t>
  </si>
  <si>
    <t>Internet infrastructures - Sector Cybersecurity Maturity</t>
  </si>
  <si>
    <t>Oil - Sector Cybersecurity Criticality</t>
  </si>
  <si>
    <t>Oil - Sector Cybersecurity Maturity</t>
  </si>
  <si>
    <t>EU-wide</t>
  </si>
  <si>
    <t>x</t>
  </si>
  <si>
    <t>w</t>
  </si>
  <si>
    <t>h</t>
  </si>
  <si>
    <t>n</t>
  </si>
  <si>
    <t>i</t>
  </si>
  <si>
    <t>o</t>
  </si>
  <si>
    <t>j</t>
  </si>
  <si>
    <t>p</t>
  </si>
  <si>
    <t>Rail - Sector Cybersecurity Criticality</t>
  </si>
  <si>
    <t>Rail - Sector Cybersecurity Maturity</t>
  </si>
  <si>
    <t>Telecom - Sector Cybersecurity Criticality</t>
  </si>
  <si>
    <t>Telecom - Sector Cybersecurity Maturity</t>
  </si>
  <si>
    <t>Transport/Aviation - Sector Cybersecurity Criticality</t>
  </si>
  <si>
    <t>Transport/Aviation - Sector Cybersecurity Maturity</t>
  </si>
  <si>
    <t>Trust services - Sector Cybersecurity Criticality</t>
  </si>
  <si>
    <t>Trust services - Sector Cybersecurity Maturity</t>
  </si>
  <si>
    <t xml:space="preserve"> 1 - Average normalised number of IPs exposed to the Shodan top-10 vulnerabilities:
The list of CVEs:
cve-2015-0204
cve-2015-4000
cve-2022-32548
cve-2020-0796
cve-2014-0160
cve-2015-1635
ms15-034
cve-2019-0708
cve-2021-31206
cve-2021-43798
cve-2021-40438
cve-2021-41773
cve-2021-42013
cve-2021-34473
</t>
  </si>
  <si>
    <t>Score (%) = SUM ( Score for Qx* ) / Maximum total score 
*Scoring based on adapted NCAF maturity levels, objective 6 "Organise cybersecurity exercises"</t>
  </si>
  <si>
    <t>Score (%) = SUM ( Score for Qx* ) / Maximum total score 
*Scoring based on adapted NCAF maturity levels, objective 12 "Address cybercrime"</t>
  </si>
  <si>
    <t>Score (%) = SUM ( Score for Qx* ) / Maximum total score 
*Scoring based on adapted NCAF maturity levels, objective 7 "Strenghten training and educational programmes"</t>
  </si>
  <si>
    <t>Score (%) = SUM ( Score for Qx* ) / Maximum total score
*Scoring based on adapted NCAF maturity levels, objective 11 "Protect critical information infrastructure"</t>
  </si>
  <si>
    <t>Score (%) = SUM ( Score for Qx) / Maximum total score
*Normalisation at question level: questions' score normalised to 1 points to even the weights</t>
  </si>
  <si>
    <t>Score (%) = SUM ( Score for Qx* ) / Maximum total score 
*Normalisation at question level: questions' score normalised to 1 point to even the weights</t>
  </si>
  <si>
    <t>Score (%) = SUM ( Score for Qx* ) / Maximum total score 
*Scoring based on adapted NCAF maturity levels, objective 13 "Establish incident reporting mechanisms"</t>
  </si>
  <si>
    <t>Score (%) = SUM ( Score for Qx* ) / Maximum total score
*Q1 based on ES-IMC, R-GI-OE2-01 Incident taxonomy
*Scoring based on adapted NCAF maturity levels, objective 13 "Establish incident reporting mechanisms"</t>
  </si>
  <si>
    <t>Score (%) = SUM(Individual score per objective*) / number of pre-defined NCSS objectives (17)
* Individual score = SUM (Score for Qx**) / Maximum total score 
** Scoring based on adapted NCAF maturity levels for general common questions among the objectives</t>
  </si>
  <si>
    <t>Score (%) = SUM ( Score for Qx* ) / Maximum total of sectors</t>
  </si>
  <si>
    <t xml:space="preserve">Score (%) =   SUM ( Score Qx )  / Maximum total score </t>
  </si>
  <si>
    <t>Score (%) = SUM ( Score for Qx* ) / Maximum total score
*Scoring based on adapted NCAF maturity levels, objective 17 "Engage in international cooperation (not only with EU MS)"</t>
  </si>
  <si>
    <t>Score (%) = SUM ( Score for Qx*) / Maximum total score 
*Normalisation at question level: questions' score normalised to 1 points to even the weights</t>
  </si>
  <si>
    <t xml:space="preserve">Score (%) = SUM ( Score for Qx) / Maximum total score </t>
  </si>
  <si>
    <t>Score (%) = SUM ( Score for Qx* ) / Maximum total score 
*Scoring based on adapted NCAF maturity levels, objective 8 "Foster R&amp;D"</t>
  </si>
  <si>
    <t>Score (%) = SUM ( Score for Qx) / Maximum total score 
*Normalisation at question level: questions' score normalised to 1 points to even the weights</t>
  </si>
  <si>
    <t>Score (%) = SUM ( Score for Qx*) / Maximum total score 
*Q1 based on ES-IMC, A-PC-OE3-02 - Cyber resilience requirements</t>
  </si>
  <si>
    <t>Score (%) = SUM ( Score for Qx* ) / Maximum total score 
*Scoring based on adapted NCAF maturity levels, objective 17 "Engage in international cooperation (not only with EU MS)"</t>
  </si>
  <si>
    <t>Cybersecurity knowledge and skills</t>
  </si>
  <si>
    <t>Cybersecurity awareness</t>
  </si>
  <si>
    <t>Standards and technologies</t>
  </si>
  <si>
    <t>Supply chain management</t>
  </si>
  <si>
    <t>Cybersecurity governance within essential/important entities</t>
  </si>
  <si>
    <t>CSIRTs capabilities</t>
  </si>
  <si>
    <t>Coverage and enforcement of NCSS</t>
  </si>
  <si>
    <t>Building knowledge and skills</t>
  </si>
  <si>
    <t>Area</t>
  </si>
  <si>
    <t>Sub-area</t>
  </si>
  <si>
    <t>Weight</t>
  </si>
  <si>
    <t>Share  of  enterprises performing a cybersecurity risk assessment
(Eurostat value for variable E_SECMRASS "percentage of  enterprises performing a cybersecurity risk assessment)</t>
  </si>
  <si>
    <t>Weighted value of 8 Eurostat variables for SMEs =
•Share of enterprises using strong password authentication (E_SECMSPSW)
•ICT security measure used: combination of at least two authentication mechanisms (e.g. user-defined password, one-time password (OTP), code generated via a security token or received via a smartphone, biometric methods) (E_SECMDUO)
•Share of enterprises using encryption techniques for data, documents or e-mails (E_SECMDENC)
•Share of enterprises using data backup to a separate location (including backup to the cloud) (E_SECMOSBU)
•Share of enterprises using network access control (management of access by devices and users to the enterprise's network) (E_SECMNAC)
•Share of enterprises using VPN (Virtual Private Network extends a private network across a public network to enable secure exchange of data over public network) (E_SECMVPN)
•Share of enterprises maintaining log files for analysis after security incidents (E_SECMLOG)
•Share of enterprises performing ICT security tests (E_SECMTST)
Weight = 1/8 per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</si>
</sst>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Calibri"/>
      <family val="2"/>
      <charset val="161"/>
      <scheme val="minor"/>
    </font>
    <font>
      <sz val="11"/>
      <color theme="1"/>
      <name val="Calibri"/>
      <family val="2"/>
      <charset val="161"/>
      <scheme val="minor"/>
    </font>
    <font>
      <sz val="11"/>
      <color theme="1"/>
      <name val="Calibri"/>
      <family val="2"/>
      <scheme val="minor"/>
    </font>
    <font>
      <b/>
      <sz val="11"/>
      <color theme="1"/>
      <name val="Calibri"/>
      <family val="2"/>
      <scheme val="minor"/>
    </font>
    <font>
      <sz val="11"/>
      <name val="Calibri"/>
      <family val="2"/>
      <scheme val="minor"/>
    </font>
    <font>
      <b/>
      <sz val="14"/>
      <color theme="1"/>
      <name val="Calibri"/>
      <family val="2"/>
      <scheme val="minor"/>
    </font>
    <font>
      <sz val="9"/>
      <color theme="1" tint="0.499984740745262"/>
      <name val="Wingdings 3"/>
      <family val="1"/>
      <charset val="2"/>
    </font>
    <font>
      <sz val="11"/>
      <name val="Calibri"/>
      <family val="2"/>
      <charset val="161"/>
      <scheme val="minor"/>
    </font>
    <font>
      <b/>
      <sz val="14"/>
      <color theme="1"/>
      <name val="Calibri"/>
      <family val="2"/>
      <charset val="161"/>
      <scheme val="minor"/>
    </font>
    <font>
      <b/>
      <sz val="11"/>
      <color theme="0"/>
      <name val="Calibri"/>
      <family val="2"/>
      <scheme val="minor"/>
    </font>
    <font>
      <u/>
      <sz val="11"/>
      <color theme="10"/>
      <name val="Calibri"/>
      <family val="2"/>
      <scheme val="minor"/>
    </font>
    <font>
      <b/>
      <sz val="12"/>
      <color theme="0"/>
      <name val="Calibri"/>
      <family val="2"/>
      <scheme val="minor"/>
    </font>
  </fonts>
  <fills count="8">
    <fill>
      <patternFill patternType="none"/>
    </fill>
    <fill>
      <patternFill patternType="gray125"/>
    </fill>
    <fill>
      <patternFill patternType="solid">
        <fgColor rgb="FFEBEBEB"/>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rgb="FFDDEBF7"/>
        <bgColor rgb="FFDDEBF7"/>
      </patternFill>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style="thin">
        <color indexed="64"/>
      </left>
      <right/>
      <top style="thin">
        <color indexed="64"/>
      </top>
      <bottom style="thin">
        <color theme="4" tint="0.39997558519241921"/>
      </bottom>
      <diagonal/>
    </border>
    <border>
      <left style="thin">
        <color indexed="64"/>
      </left>
      <right/>
      <top style="thin">
        <color theme="4" tint="0.39997558519241921"/>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theme="4" tint="0.39997558519241921"/>
      </top>
      <bottom style="thin">
        <color indexed="64"/>
      </bottom>
      <diagonal/>
    </border>
  </borders>
  <cellStyleXfs count="3">
    <xf numFmtId="0" fontId="0" fillId="0" borderId="0"/>
    <xf numFmtId="9" fontId="3" fillId="0" borderId="0" applyFont="0" applyFill="0" applyBorder="0" applyAlignment="0" applyProtection="0"/>
    <xf numFmtId="0" fontId="11" fillId="0" borderId="0" applyNumberFormat="0" applyFill="0" applyBorder="0" applyAlignment="0" applyProtection="0"/>
  </cellStyleXfs>
  <cellXfs count="144">
    <xf numFmtId="0" fontId="0" fillId="0" borderId="0" xfId="0"/>
    <xf numFmtId="0" fontId="4" fillId="0" borderId="0" xfId="0" applyFont="1" applyAlignment="1">
      <alignment wrapText="1"/>
    </xf>
    <xf numFmtId="0" fontId="6" fillId="0" borderId="0" xfId="0" applyFont="1" applyAlignment="1">
      <alignment horizontal="center" vertical="center" wrapText="1"/>
    </xf>
    <xf numFmtId="0" fontId="0" fillId="0" borderId="0" xfId="0" applyAlignment="1">
      <alignment wrapText="1"/>
    </xf>
    <xf numFmtId="9" fontId="0" fillId="0" borderId="0" xfId="0" applyNumberFormat="1"/>
    <xf numFmtId="0" fontId="0" fillId="2" borderId="1" xfId="0" applyFill="1" applyBorder="1"/>
    <xf numFmtId="9" fontId="0" fillId="2" borderId="1" xfId="1" applyFont="1" applyFill="1" applyBorder="1"/>
    <xf numFmtId="0" fontId="7" fillId="0" borderId="0" xfId="0" applyFont="1"/>
    <xf numFmtId="0" fontId="4" fillId="0" borderId="0" xfId="0" applyFont="1"/>
    <xf numFmtId="0" fontId="0" fillId="3" borderId="1" xfId="0" applyFill="1" applyBorder="1"/>
    <xf numFmtId="0" fontId="4" fillId="3" borderId="0" xfId="0" applyFont="1" applyFill="1" applyAlignment="1">
      <alignment horizontal="left" vertical="center" wrapText="1"/>
    </xf>
    <xf numFmtId="0" fontId="0" fillId="0" borderId="0" xfId="0" applyAlignment="1">
      <alignment horizontal="left" vertical="center" indent="1"/>
    </xf>
    <xf numFmtId="0" fontId="0" fillId="0" borderId="0" xfId="0" applyAlignment="1">
      <alignment horizontal="left" vertical="center" wrapText="1" indent="1"/>
    </xf>
    <xf numFmtId="0" fontId="0" fillId="3" borderId="1" xfId="0" applyFill="1" applyBorder="1" applyAlignment="1">
      <alignment horizontal="left" vertical="center" wrapText="1"/>
    </xf>
    <xf numFmtId="0" fontId="0" fillId="0" borderId="0" xfId="0" quotePrefix="1" applyAlignment="1">
      <alignment horizontal="left" vertical="center" wrapText="1" indent="1"/>
    </xf>
    <xf numFmtId="10" fontId="0" fillId="2" borderId="1" xfId="1" applyNumberFormat="1" applyFont="1" applyFill="1" applyBorder="1"/>
    <xf numFmtId="0" fontId="0" fillId="0" borderId="0" xfId="0" applyAlignment="1">
      <alignment horizontal="left" indent="1"/>
    </xf>
    <xf numFmtId="0" fontId="0" fillId="0" borderId="0" xfId="0" applyAlignment="1">
      <alignment horizontal="right"/>
    </xf>
    <xf numFmtId="49" fontId="0" fillId="0" borderId="0" xfId="0" applyNumberFormat="1" applyAlignment="1">
      <alignment horizontal="left" vertical="center" indent="1"/>
    </xf>
    <xf numFmtId="0" fontId="5" fillId="0" borderId="0" xfId="0" applyFont="1" applyAlignment="1">
      <alignment horizontal="left" vertical="center" wrapText="1" indent="1"/>
    </xf>
    <xf numFmtId="0" fontId="2"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0" borderId="0" xfId="0" quotePrefix="1" applyAlignment="1">
      <alignment horizontal="left" vertical="top"/>
    </xf>
    <xf numFmtId="0" fontId="5" fillId="0" borderId="0" xfId="0" quotePrefix="1" applyFont="1" applyAlignment="1">
      <alignment horizontal="left" vertical="top"/>
    </xf>
    <xf numFmtId="0" fontId="8" fillId="0" borderId="0" xfId="0" quotePrefix="1" applyFont="1" applyAlignment="1">
      <alignment horizontal="left" vertical="top"/>
    </xf>
    <xf numFmtId="0" fontId="2" fillId="0" borderId="0" xfId="0" applyFont="1" applyAlignment="1">
      <alignment horizontal="left" vertical="top" wrapText="1"/>
    </xf>
    <xf numFmtId="0" fontId="2" fillId="0" borderId="0" xfId="0" quotePrefix="1" applyFont="1" applyAlignment="1">
      <alignment horizontal="left" vertical="top"/>
    </xf>
    <xf numFmtId="0" fontId="2" fillId="0" borderId="0" xfId="0" applyFont="1" applyAlignment="1">
      <alignment horizontal="left" vertical="center"/>
    </xf>
    <xf numFmtId="0" fontId="2" fillId="0" borderId="0" xfId="0" applyFont="1"/>
    <xf numFmtId="9" fontId="2" fillId="0" borderId="0" xfId="0" applyNumberFormat="1" applyFont="1" applyAlignment="1">
      <alignment horizontal="left" vertical="center"/>
    </xf>
    <xf numFmtId="9" fontId="0" fillId="0" borderId="0" xfId="0" applyNumberFormat="1" applyAlignment="1">
      <alignment horizontal="left" vertical="center" indent="1"/>
    </xf>
    <xf numFmtId="9" fontId="0" fillId="0" borderId="0" xfId="0" applyNumberFormat="1" applyAlignment="1">
      <alignment horizontal="left" vertical="center" wrapText="1" indent="1"/>
    </xf>
    <xf numFmtId="9" fontId="2" fillId="0" borderId="0" xfId="0" applyNumberFormat="1" applyFont="1" applyAlignment="1">
      <alignment horizontal="left" vertical="top"/>
    </xf>
    <xf numFmtId="0" fontId="0" fillId="0" borderId="0" xfId="0" applyAlignment="1">
      <alignment horizontal="right" vertical="top"/>
    </xf>
    <xf numFmtId="0" fontId="2" fillId="0" borderId="0" xfId="0" applyFont="1" applyAlignment="1">
      <alignment horizontal="right" vertical="top"/>
    </xf>
    <xf numFmtId="0" fontId="9" fillId="0" borderId="0" xfId="0" applyFont="1"/>
    <xf numFmtId="0" fontId="4" fillId="3" borderId="0" xfId="0" applyFont="1" applyFill="1" applyAlignment="1">
      <alignment vertical="center" wrapText="1"/>
    </xf>
    <xf numFmtId="0" fontId="0" fillId="0" borderId="0" xfId="0" applyAlignment="1">
      <alignment vertical="center" wrapText="1"/>
    </xf>
    <xf numFmtId="0" fontId="9" fillId="0" borderId="0" xfId="0" applyFont="1" applyAlignment="1">
      <alignment horizontal="left" vertical="top"/>
    </xf>
    <xf numFmtId="0" fontId="0" fillId="0" borderId="0" xfId="0" applyAlignment="1">
      <alignment horizontal="left" wrapText="1" indent="1"/>
    </xf>
    <xf numFmtId="0" fontId="9" fillId="0" borderId="0" xfId="0" applyFont="1" applyAlignment="1">
      <alignment horizontal="left"/>
    </xf>
    <xf numFmtId="0" fontId="0" fillId="0" borderId="0" xfId="0" applyAlignment="1">
      <alignment horizontal="center" vertical="center"/>
    </xf>
    <xf numFmtId="0" fontId="5" fillId="0" borderId="0" xfId="0" quotePrefix="1" applyFont="1" applyAlignment="1">
      <alignment horizontal="left" vertical="center" wrapText="1"/>
    </xf>
    <xf numFmtId="0" fontId="0" fillId="0" borderId="0" xfId="0" applyAlignment="1">
      <alignment vertical="top" wrapText="1"/>
    </xf>
    <xf numFmtId="0" fontId="5" fillId="0" borderId="0" xfId="0" quotePrefix="1" applyFont="1" applyAlignment="1">
      <alignment horizontal="left" vertical="center" wrapText="1" indent="1"/>
    </xf>
    <xf numFmtId="0" fontId="0" fillId="0" borderId="0" xfId="0" applyAlignment="1">
      <alignment vertical="center"/>
    </xf>
    <xf numFmtId="0" fontId="9" fillId="0" borderId="0" xfId="0" applyFont="1" applyAlignment="1">
      <alignment horizontal="center"/>
    </xf>
    <xf numFmtId="49" fontId="0" fillId="2" borderId="1" xfId="1" applyNumberFormat="1" applyFont="1" applyFill="1" applyBorder="1"/>
    <xf numFmtId="49" fontId="0" fillId="0" borderId="0" xfId="0" applyNumberFormat="1" applyAlignment="1">
      <alignment horizontal="left" vertical="center" wrapText="1" indent="1"/>
    </xf>
    <xf numFmtId="49" fontId="0" fillId="0" borderId="0" xfId="1" applyNumberFormat="1" applyFont="1" applyAlignment="1">
      <alignment horizontal="left" vertical="center" indent="1"/>
    </xf>
    <xf numFmtId="49" fontId="0" fillId="0" borderId="0" xfId="1" applyNumberFormat="1" applyFont="1" applyAlignment="1">
      <alignment horizontal="left" vertical="center" wrapText="1" indent="1"/>
    </xf>
    <xf numFmtId="0" fontId="0" fillId="0" borderId="0" xfId="0" applyAlignment="1">
      <alignment horizontal="left" vertical="center" wrapText="1"/>
    </xf>
    <xf numFmtId="0" fontId="10" fillId="4" borderId="0" xfId="0" applyFont="1" applyFill="1" applyAlignment="1">
      <alignment vertical="center"/>
    </xf>
    <xf numFmtId="49" fontId="0" fillId="0" borderId="0" xfId="0" applyNumberFormat="1" applyAlignment="1">
      <alignment horizontal="left" wrapText="1" indent="1"/>
    </xf>
    <xf numFmtId="0" fontId="0" fillId="2" borderId="0" xfId="0" applyFill="1"/>
    <xf numFmtId="0" fontId="0" fillId="0" borderId="0" xfId="0" quotePrefix="1" applyAlignment="1">
      <alignment horizontal="left" vertical="center" wrapText="1"/>
    </xf>
    <xf numFmtId="0" fontId="1" fillId="0" borderId="0" xfId="0" applyFont="1" applyAlignment="1">
      <alignment horizontal="left" vertical="top"/>
    </xf>
    <xf numFmtId="9" fontId="1" fillId="0" borderId="0" xfId="0" applyNumberFormat="1" applyFont="1" applyAlignment="1">
      <alignment horizontal="left" vertical="center"/>
    </xf>
    <xf numFmtId="0" fontId="5" fillId="0" borderId="1" xfId="0" applyFont="1" applyBorder="1" applyAlignment="1">
      <alignment horizontal="center" vertical="top" wrapText="1"/>
    </xf>
    <xf numFmtId="0" fontId="5" fillId="7" borderId="1" xfId="0" applyFont="1" applyFill="1" applyBorder="1" applyAlignment="1">
      <alignment horizontal="center" vertical="top" wrapText="1"/>
    </xf>
    <xf numFmtId="0" fontId="5" fillId="0" borderId="13" xfId="0" applyFont="1" applyBorder="1" applyAlignment="1">
      <alignment horizontal="center" vertical="top" wrapText="1"/>
    </xf>
    <xf numFmtId="0" fontId="5" fillId="7" borderId="13" xfId="0" applyFont="1" applyFill="1" applyBorder="1" applyAlignment="1">
      <alignment horizontal="center" vertical="top" wrapText="1"/>
    </xf>
    <xf numFmtId="0" fontId="0" fillId="7" borderId="1" xfId="0" applyFont="1" applyFill="1" applyBorder="1" applyAlignment="1">
      <alignment horizontal="left" vertical="center" wrapText="1"/>
    </xf>
    <xf numFmtId="0" fontId="0" fillId="0" borderId="1" xfId="0" applyFont="1" applyBorder="1" applyAlignment="1">
      <alignment horizontal="left" vertical="center" wrapText="1"/>
    </xf>
    <xf numFmtId="0" fontId="0" fillId="0" borderId="13" xfId="0" applyFont="1" applyBorder="1" applyAlignment="1">
      <alignment horizontal="left" vertical="center" wrapText="1"/>
    </xf>
    <xf numFmtId="0" fontId="0" fillId="7" borderId="13" xfId="0" applyFont="1" applyFill="1" applyBorder="1" applyAlignment="1">
      <alignment horizontal="left" vertical="center" wrapText="1"/>
    </xf>
    <xf numFmtId="1" fontId="12" fillId="6" borderId="2" xfId="0" applyNumberFormat="1" applyFont="1" applyFill="1" applyBorder="1" applyAlignment="1">
      <alignment horizontal="center" vertical="center" wrapText="1"/>
    </xf>
    <xf numFmtId="0" fontId="12" fillId="6" borderId="3" xfId="0" applyFont="1" applyFill="1" applyBorder="1" applyAlignment="1">
      <alignment horizontal="left" vertical="center" wrapText="1"/>
    </xf>
    <xf numFmtId="0" fontId="12" fillId="6" borderId="3" xfId="0" applyFont="1" applyFill="1" applyBorder="1" applyAlignment="1">
      <alignment wrapText="1"/>
    </xf>
    <xf numFmtId="1" fontId="12" fillId="6" borderId="1" xfId="0" applyNumberFormat="1" applyFont="1" applyFill="1" applyBorder="1" applyAlignment="1">
      <alignment horizontal="center" vertical="center" wrapText="1"/>
    </xf>
    <xf numFmtId="0" fontId="12" fillId="6" borderId="7" xfId="0" applyFont="1" applyFill="1" applyBorder="1" applyAlignment="1">
      <alignment horizontal="left" vertical="center" wrapText="1"/>
    </xf>
    <xf numFmtId="0" fontId="12" fillId="6" borderId="1" xfId="0" applyFont="1" applyFill="1" applyBorder="1" applyAlignment="1">
      <alignment horizontal="left" vertical="center" wrapText="1"/>
    </xf>
    <xf numFmtId="1" fontId="4" fillId="7" borderId="7" xfId="0" applyNumberFormat="1" applyFont="1" applyFill="1" applyBorder="1" applyAlignment="1">
      <alignment horizontal="center" vertical="center" wrapText="1"/>
    </xf>
    <xf numFmtId="0" fontId="0" fillId="7" borderId="1" xfId="0" applyFont="1" applyFill="1" applyBorder="1" applyAlignment="1">
      <alignment horizontal="center" vertical="center" wrapText="1"/>
    </xf>
    <xf numFmtId="0" fontId="4" fillId="7" borderId="1" xfId="0" applyFont="1" applyFill="1" applyBorder="1" applyAlignment="1">
      <alignment horizontal="left" vertical="center" wrapText="1"/>
    </xf>
    <xf numFmtId="0" fontId="0" fillId="7" borderId="1" xfId="0" applyFont="1" applyFill="1" applyBorder="1" applyAlignment="1">
      <alignment vertical="top" wrapText="1"/>
    </xf>
    <xf numFmtId="0" fontId="11" fillId="7" borderId="5" xfId="2" applyNumberFormat="1" applyFont="1" applyFill="1" applyBorder="1" applyAlignment="1">
      <alignment wrapText="1"/>
    </xf>
    <xf numFmtId="0" fontId="0" fillId="7" borderId="12" xfId="0" applyFont="1" applyFill="1" applyBorder="1" applyAlignment="1">
      <alignment vertical="top" wrapText="1"/>
    </xf>
    <xf numFmtId="0" fontId="0" fillId="0" borderId="0" xfId="0" applyFont="1"/>
    <xf numFmtId="1" fontId="0" fillId="0" borderId="7" xfId="0" applyNumberFormat="1" applyFont="1" applyBorder="1" applyAlignment="1">
      <alignment horizontal="center" vertical="center" wrapText="1"/>
    </xf>
    <xf numFmtId="0" fontId="0" fillId="0" borderId="1" xfId="0" applyFont="1" applyBorder="1" applyAlignment="1">
      <alignment horizontal="center" vertical="center" wrapText="1"/>
    </xf>
    <xf numFmtId="0" fontId="4" fillId="0" borderId="1" xfId="0" applyFont="1" applyBorder="1" applyAlignment="1">
      <alignment horizontal="left" vertical="center" wrapText="1"/>
    </xf>
    <xf numFmtId="0" fontId="0" fillId="0" borderId="1" xfId="0" applyFont="1" applyBorder="1" applyAlignment="1">
      <alignment horizontal="left" vertical="top" wrapText="1"/>
    </xf>
    <xf numFmtId="0" fontId="11" fillId="0" borderId="5" xfId="2" applyNumberFormat="1" applyFont="1" applyBorder="1" applyAlignment="1">
      <alignment wrapText="1"/>
    </xf>
    <xf numFmtId="0" fontId="0" fillId="0" borderId="12" xfId="0" applyFont="1" applyBorder="1" applyAlignment="1">
      <alignment vertical="top" wrapText="1"/>
    </xf>
    <xf numFmtId="1" fontId="0" fillId="7" borderId="7" xfId="0" applyNumberFormat="1" applyFont="1" applyFill="1" applyBorder="1" applyAlignment="1">
      <alignment horizontal="center" vertical="center" wrapText="1"/>
    </xf>
    <xf numFmtId="0" fontId="0" fillId="7" borderId="1" xfId="0" applyFont="1" applyFill="1" applyBorder="1" applyAlignment="1">
      <alignment horizontal="left" vertical="top" wrapText="1"/>
    </xf>
    <xf numFmtId="0" fontId="11" fillId="7" borderId="5" xfId="2" applyNumberFormat="1" applyFont="1" applyFill="1" applyBorder="1" applyAlignment="1"/>
    <xf numFmtId="0" fontId="0" fillId="7" borderId="5" xfId="0" applyFont="1" applyFill="1" applyBorder="1" applyAlignment="1">
      <alignment vertical="top" wrapText="1"/>
    </xf>
    <xf numFmtId="1" fontId="4" fillId="0" borderId="7" xfId="0" applyNumberFormat="1" applyFont="1" applyBorder="1" applyAlignment="1">
      <alignment horizontal="center" vertical="top" wrapText="1"/>
    </xf>
    <xf numFmtId="0" fontId="0" fillId="0" borderId="1" xfId="0" applyFont="1" applyBorder="1" applyAlignment="1">
      <alignment vertical="top" wrapText="1"/>
    </xf>
    <xf numFmtId="0" fontId="11" fillId="0" borderId="10" xfId="2" applyNumberFormat="1" applyFont="1" applyBorder="1" applyAlignment="1">
      <alignment wrapText="1"/>
    </xf>
    <xf numFmtId="0" fontId="0" fillId="0" borderId="5" xfId="0" applyFont="1" applyBorder="1" applyAlignment="1">
      <alignment vertical="top" wrapText="1"/>
    </xf>
    <xf numFmtId="0" fontId="11" fillId="7" borderId="1" xfId="2" applyNumberFormat="1" applyFont="1" applyFill="1" applyBorder="1" applyAlignment="1"/>
    <xf numFmtId="0" fontId="11" fillId="0" borderId="1" xfId="2" applyNumberFormat="1" applyFont="1" applyBorder="1" applyAlignment="1">
      <alignment wrapText="1"/>
    </xf>
    <xf numFmtId="0" fontId="5" fillId="0" borderId="1" xfId="0" applyFont="1" applyBorder="1" applyAlignment="1">
      <alignment horizontal="left" vertical="top" wrapText="1"/>
    </xf>
    <xf numFmtId="1" fontId="0" fillId="7" borderId="7" xfId="0" applyNumberFormat="1" applyFont="1" applyFill="1" applyBorder="1" applyAlignment="1">
      <alignment horizontal="center" vertical="top" wrapText="1"/>
    </xf>
    <xf numFmtId="0" fontId="11" fillId="7" borderId="10" xfId="2" applyNumberFormat="1" applyFont="1" applyFill="1" applyBorder="1" applyAlignment="1">
      <alignment wrapText="1"/>
    </xf>
    <xf numFmtId="0" fontId="11" fillId="0" borderId="10" xfId="2" applyNumberFormat="1" applyFont="1" applyBorder="1" applyAlignment="1"/>
    <xf numFmtId="0" fontId="11" fillId="7" borderId="1" xfId="2" applyFont="1" applyFill="1" applyBorder="1" applyAlignment="1">
      <alignment horizontal="left" vertical="center" wrapText="1"/>
    </xf>
    <xf numFmtId="0" fontId="0" fillId="7" borderId="10" xfId="0" applyFont="1" applyFill="1" applyBorder="1" applyAlignment="1">
      <alignment wrapText="1"/>
    </xf>
    <xf numFmtId="0" fontId="0" fillId="7" borderId="5" xfId="0" applyFont="1" applyFill="1" applyBorder="1" applyAlignment="1">
      <alignment wrapText="1"/>
    </xf>
    <xf numFmtId="0" fontId="11" fillId="0" borderId="1" xfId="2" applyFont="1" applyBorder="1" applyAlignment="1">
      <alignment horizontal="left" vertical="center" wrapText="1"/>
    </xf>
    <xf numFmtId="0" fontId="0" fillId="0" borderId="10" xfId="0" applyFont="1" applyBorder="1" applyAlignment="1">
      <alignment wrapText="1"/>
    </xf>
    <xf numFmtId="0" fontId="0" fillId="0" borderId="5" xfId="0" applyFont="1" applyBorder="1" applyAlignment="1">
      <alignment wrapText="1"/>
    </xf>
    <xf numFmtId="0" fontId="0" fillId="7" borderId="1" xfId="0" applyFont="1" applyFill="1" applyBorder="1" applyAlignment="1">
      <alignment wrapText="1"/>
    </xf>
    <xf numFmtId="0" fontId="0" fillId="7" borderId="1" xfId="0" applyFont="1" applyFill="1" applyBorder="1" applyAlignment="1">
      <alignment horizontal="center" vertical="top" wrapText="1"/>
    </xf>
    <xf numFmtId="0" fontId="0" fillId="0" borderId="1" xfId="0" applyFont="1" applyBorder="1" applyAlignment="1">
      <alignment horizontal="center" vertical="top" wrapText="1"/>
    </xf>
    <xf numFmtId="0" fontId="11" fillId="0" borderId="5" xfId="2" applyNumberFormat="1" applyFont="1" applyBorder="1" applyAlignment="1">
      <alignment vertical="center" wrapText="1"/>
    </xf>
    <xf numFmtId="0" fontId="11" fillId="7" borderId="5" xfId="2" applyNumberFormat="1" applyFont="1" applyFill="1" applyBorder="1" applyAlignment="1">
      <alignment vertical="center" wrapText="1"/>
    </xf>
    <xf numFmtId="0" fontId="11" fillId="7" borderId="10" xfId="2" applyNumberFormat="1" applyFont="1" applyFill="1" applyBorder="1" applyAlignment="1">
      <alignment vertical="center" wrapText="1"/>
    </xf>
    <xf numFmtId="0" fontId="0" fillId="0" borderId="1" xfId="0" applyFont="1" applyBorder="1" applyAlignment="1">
      <alignment wrapText="1"/>
    </xf>
    <xf numFmtId="0" fontId="0" fillId="0" borderId="0" xfId="0" applyFont="1" applyFill="1" applyAlignment="1">
      <alignment wrapText="1"/>
    </xf>
    <xf numFmtId="0" fontId="0" fillId="7" borderId="10" xfId="0" applyFont="1" applyFill="1" applyBorder="1" applyAlignment="1">
      <alignment horizontal="left" vertical="top" wrapText="1"/>
    </xf>
    <xf numFmtId="0" fontId="0" fillId="7" borderId="10" xfId="0" applyFont="1" applyFill="1" applyBorder="1"/>
    <xf numFmtId="0" fontId="0" fillId="0" borderId="10" xfId="0" applyFont="1" applyBorder="1"/>
    <xf numFmtId="0" fontId="0" fillId="0" borderId="11" xfId="0" applyFont="1" applyBorder="1" applyAlignment="1">
      <alignment wrapText="1"/>
    </xf>
    <xf numFmtId="0" fontId="0" fillId="7" borderId="11" xfId="0" applyFont="1" applyFill="1" applyBorder="1" applyAlignment="1">
      <alignment wrapText="1"/>
    </xf>
    <xf numFmtId="0" fontId="0" fillId="7" borderId="7" xfId="0" applyFont="1" applyFill="1" applyBorder="1" applyAlignment="1">
      <alignment horizontal="center" vertical="top" wrapText="1"/>
    </xf>
    <xf numFmtId="0" fontId="0" fillId="7" borderId="13" xfId="0" applyFont="1" applyFill="1" applyBorder="1" applyAlignment="1">
      <alignment vertical="top" wrapText="1"/>
    </xf>
    <xf numFmtId="0" fontId="4" fillId="7" borderId="1" xfId="0" applyFont="1" applyFill="1" applyBorder="1" applyAlignment="1">
      <alignment vertical="top" wrapText="1"/>
    </xf>
    <xf numFmtId="0" fontId="0" fillId="7" borderId="10" xfId="0" applyFont="1" applyFill="1" applyBorder="1" applyAlignment="1">
      <alignment vertical="top" wrapText="1"/>
    </xf>
    <xf numFmtId="0" fontId="0" fillId="0" borderId="7" xfId="0" applyFont="1" applyBorder="1" applyAlignment="1">
      <alignment horizontal="center" vertical="top" wrapText="1"/>
    </xf>
    <xf numFmtId="0" fontId="4" fillId="0" borderId="1" xfId="0" applyFont="1" applyBorder="1" applyAlignment="1">
      <alignment vertical="top" wrapText="1"/>
    </xf>
    <xf numFmtId="0" fontId="0" fillId="5" borderId="7" xfId="0" applyFont="1" applyFill="1" applyBorder="1" applyAlignment="1">
      <alignment horizontal="center" vertical="top" wrapText="1"/>
    </xf>
    <xf numFmtId="0" fontId="0" fillId="0" borderId="10" xfId="0" applyFont="1" applyBorder="1" applyAlignment="1">
      <alignment vertical="top" wrapText="1"/>
    </xf>
    <xf numFmtId="0" fontId="11" fillId="7" borderId="5" xfId="2" applyNumberFormat="1" applyFont="1" applyFill="1" applyBorder="1" applyAlignment="1">
      <alignment vertical="top" wrapText="1"/>
    </xf>
    <xf numFmtId="0" fontId="11" fillId="0" borderId="5" xfId="2" applyNumberFormat="1" applyFont="1" applyBorder="1" applyAlignment="1"/>
    <xf numFmtId="0" fontId="11" fillId="0" borderId="5" xfId="2" applyNumberFormat="1" applyFont="1" applyBorder="1" applyAlignment="1">
      <alignment vertical="top" wrapText="1"/>
    </xf>
    <xf numFmtId="0" fontId="0" fillId="0" borderId="13" xfId="0" applyFont="1" applyBorder="1" applyAlignment="1">
      <alignment vertical="top" wrapText="1"/>
    </xf>
    <xf numFmtId="0" fontId="0" fillId="0" borderId="8" xfId="0" applyFont="1" applyBorder="1" applyAlignment="1">
      <alignment horizontal="center" vertical="top" wrapText="1"/>
    </xf>
    <xf numFmtId="0" fontId="0" fillId="0" borderId="9" xfId="0" applyFont="1" applyBorder="1" applyAlignment="1">
      <alignment vertical="top" wrapText="1"/>
    </xf>
    <xf numFmtId="0" fontId="4" fillId="0" borderId="9" xfId="0" applyFont="1" applyBorder="1" applyAlignment="1">
      <alignment vertical="top" wrapText="1"/>
    </xf>
    <xf numFmtId="0" fontId="0" fillId="0" borderId="6" xfId="0" applyFont="1" applyBorder="1" applyAlignment="1">
      <alignment vertical="top" wrapText="1"/>
    </xf>
    <xf numFmtId="0" fontId="12" fillId="6" borderId="4" xfId="0" applyFont="1" applyFill="1" applyBorder="1" applyAlignment="1">
      <alignment horizontal="left" vertical="center" wrapText="1"/>
    </xf>
    <xf numFmtId="1" fontId="4" fillId="7" borderId="1" xfId="0" applyNumberFormat="1" applyFont="1" applyFill="1" applyBorder="1" applyAlignment="1">
      <alignment horizontal="center" vertical="center" wrapText="1"/>
    </xf>
    <xf numFmtId="0" fontId="0" fillId="7" borderId="14" xfId="0" applyFont="1" applyFill="1" applyBorder="1" applyAlignment="1">
      <alignment vertical="top" wrapText="1"/>
    </xf>
    <xf numFmtId="1" fontId="0" fillId="0" borderId="1" xfId="0" applyNumberFormat="1" applyFont="1" applyBorder="1" applyAlignment="1">
      <alignment horizontal="center" vertical="center" wrapText="1"/>
    </xf>
    <xf numFmtId="0" fontId="0" fillId="0" borderId="14" xfId="0" applyFont="1" applyBorder="1" applyAlignment="1">
      <alignment vertical="top" wrapText="1"/>
    </xf>
    <xf numFmtId="1" fontId="0" fillId="7" borderId="1" xfId="0" applyNumberFormat="1" applyFont="1" applyFill="1" applyBorder="1" applyAlignment="1">
      <alignment horizontal="center" vertical="center" wrapText="1"/>
    </xf>
    <xf numFmtId="1" fontId="4" fillId="0" borderId="1" xfId="0" applyNumberFormat="1" applyFont="1" applyBorder="1" applyAlignment="1">
      <alignment horizontal="center" vertical="top" wrapText="1"/>
    </xf>
    <xf numFmtId="1" fontId="0" fillId="7" borderId="1" xfId="0" applyNumberFormat="1" applyFont="1" applyFill="1" applyBorder="1" applyAlignment="1">
      <alignment horizontal="center" vertical="top" wrapText="1"/>
    </xf>
    <xf numFmtId="0" fontId="0" fillId="5" borderId="1" xfId="0" applyFont="1" applyFill="1" applyBorder="1" applyAlignment="1">
      <alignment horizontal="center" vertical="top" wrapText="1"/>
    </xf>
  </cellXfs>
  <cellStyles count="3">
    <cellStyle name="Hyperlink" xfId="2" builtinId="8"/>
    <cellStyle name="Normal" xfId="0" builtinId="0"/>
    <cellStyle name="Percent" xfId="1" builtinId="5"/>
  </cellStyles>
  <dxfs count="13">
    <dxf>
      <font>
        <strike val="0"/>
        <outline val="0"/>
        <shadow val="0"/>
        <vertAlign val="baseline"/>
        <sz val="11"/>
        <name val="Calibri"/>
        <family val="2"/>
        <scheme val="minor"/>
      </font>
      <alignment horizontal="general"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name val="Calibri"/>
        <family val="2"/>
        <scheme val="minor"/>
      </font>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EBEBEB"/>
      <color rgb="FFCB0538"/>
      <color rgb="FFEAEAEA"/>
      <color rgb="FFCCEC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D35DE9-2E58-45C4-B9A0-7CA3DA610F8C}" name="Table1" displayName="Table1" ref="A1:I85" totalsRowShown="0" headerRowDxfId="12" dataDxfId="10" headerRowBorderDxfId="11" tableBorderDxfId="9">
  <autoFilter ref="A1:I85" xr:uid="{48D35DE9-2E58-45C4-B9A0-7CA3DA610F8C}"/>
  <tableColumns count="9">
    <tableColumn id="1" xr3:uid="{C5E074D6-9ACE-4439-87F9-375CC4D82717}" name="#" dataDxfId="8"/>
    <tableColumn id="2" xr3:uid="{18628785-A4C9-4005-A969-E95144E28DBE}" name="Area-revised" dataDxfId="7"/>
    <tableColumn id="3" xr3:uid="{379ECA4D-2D61-4FE1-A085-DF69D8FB79B0}" name="Suba-area-revised" dataDxfId="6"/>
    <tableColumn id="4" xr3:uid="{9477F8B1-3E34-4E15-AEDE-771D0B7376FF}" name="Indicator Name" dataDxfId="5"/>
    <tableColumn id="5" xr3:uid="{FB6D5803-99C9-41AC-999C-F2B9447D0295}" name="Indicator description/Algorithm (click on the hyperlink for indicators collected through the MS survey + Shodan)" dataDxfId="4"/>
    <tableColumn id="6" xr3:uid="{384146CB-E4A9-462C-AE8D-6A6CE83E3064}" name="IndicatorSource " dataDxfId="3"/>
    <tableColumn id="7" xr3:uid="{65D91CDA-1070-469C-8B9F-0741EF5823D2}" name="Link" dataDxfId="2"/>
    <tableColumn id="8" xr3:uid="{6C456895-96C8-4C75-B90A-44A21D8818DB}" name="Coverage" dataDxfId="1"/>
    <tableColumn id="9" xr3:uid="{09610854-0DC0-4DB2-BDE0-F4670F285ACE}" name="Report Yea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c.europa.eu/eurostat/databrowser/view/ISOC_CISCE_RA/default/table" TargetMode="External"/><Relationship Id="rId18" Type="http://schemas.openxmlformats.org/officeDocument/2006/relationships/hyperlink" Target="https://ec.europa.eu/info/funding-tenders/opportunities/portal/screen/opportunities/horizon-dashboard" TargetMode="External"/><Relationship Id="rId26" Type="http://schemas.openxmlformats.org/officeDocument/2006/relationships/hyperlink" Target="https://ciras.enisa.europa.eu/" TargetMode="External"/><Relationship Id="rId39" Type="http://schemas.openxmlformats.org/officeDocument/2006/relationships/printerSettings" Target="../printerSettings/printerSettings1.bin"/><Relationship Id="rId21" Type="http://schemas.openxmlformats.org/officeDocument/2006/relationships/hyperlink" Target="https://ec.europa.eu/eurostat/databrowser/view/ISOC_CISCE_IC/default/table" TargetMode="External"/><Relationship Id="rId34" Type="http://schemas.openxmlformats.org/officeDocument/2006/relationships/hyperlink" Target="https://ciras.enisa.europa.eu/" TargetMode="External"/><Relationship Id="rId7" Type="http://schemas.openxmlformats.org/officeDocument/2006/relationships/hyperlink" Target="https://data.europa.eu/data/datasets/s2280_fl496_eng?locale=en" TargetMode="External"/><Relationship Id="rId12" Type="http://schemas.openxmlformats.org/officeDocument/2006/relationships/hyperlink" Target="https://www.iso.org/the-iso-survey.html" TargetMode="External"/><Relationship Id="rId17" Type="http://schemas.openxmlformats.org/officeDocument/2006/relationships/hyperlink" Target="https://ec.europa.eu/eurostat/databrowser/view/ISOC_EB_AI__custom_5809306/default/table?lang=en" TargetMode="External"/><Relationship Id="rId25" Type="http://schemas.openxmlformats.org/officeDocument/2006/relationships/hyperlink" Target="https://www.enisa.europa.eu/topics/csirts-in-europe/csirt-inventory/certs-by-country-interactive-map" TargetMode="External"/><Relationship Id="rId33" Type="http://schemas.openxmlformats.org/officeDocument/2006/relationships/hyperlink" Target="https://ciras.enisa.europa.eu/" TargetMode="External"/><Relationship Id="rId38" Type="http://schemas.openxmlformats.org/officeDocument/2006/relationships/hyperlink" Target="https://www.enisa.europa.eu/publications/cloud-cybersecurity-market-analysisPage%2047%20-%20Figure%2022:%20Demand-side%20experience%20with%20impactful%20incidents" TargetMode="External"/><Relationship Id="rId2" Type="http://schemas.openxmlformats.org/officeDocument/2006/relationships/hyperlink" Target="https://ec.europa.eu/eurostat/databrowser/view/ISOC_CISCE_RA/default/table" TargetMode="External"/><Relationship Id="rId16" Type="http://schemas.openxmlformats.org/officeDocument/2006/relationships/hyperlink" Target="https://ec.europa.eu/eurostat/databrowser/view/ISOC_CICCE_USE__custom_5809035/default/table?lang=en" TargetMode="External"/><Relationship Id="rId20" Type="http://schemas.openxmlformats.org/officeDocument/2006/relationships/hyperlink" Target="https://ec.europa.eu/eurostat/databrowser/view/ISOC_CISCE_IC/default/table" TargetMode="External"/><Relationship Id="rId29" Type="http://schemas.openxmlformats.org/officeDocument/2006/relationships/hyperlink" Target="https://ciras.enisa.europa.eu/" TargetMode="External"/><Relationship Id="rId1" Type="http://schemas.openxmlformats.org/officeDocument/2006/relationships/hyperlink" Target="https://ec.europa.eu/eurostat/databrowser/view/ISOC_CISCE_RA/default/table" TargetMode="External"/><Relationship Id="rId6" Type="http://schemas.openxmlformats.org/officeDocument/2006/relationships/hyperlink" Target="https://data.europa.eu/data/datasets/s2249_92_2_499_eng?locale=en" TargetMode="External"/><Relationship Id="rId11" Type="http://schemas.openxmlformats.org/officeDocument/2006/relationships/hyperlink" Target="https://ec.europa.eu/eurostat/databrowser/view/ISOC_CISCE_RA/default/table" TargetMode="External"/><Relationship Id="rId24" Type="http://schemas.openxmlformats.org/officeDocument/2006/relationships/hyperlink" Target="https://ec.europa.eu/eurostat/databrowser/view/ISOC_CISCE_IC/default/table" TargetMode="External"/><Relationship Id="rId32" Type="http://schemas.openxmlformats.org/officeDocument/2006/relationships/hyperlink" Target="https://ciras.enisa.europa.eu/" TargetMode="External"/><Relationship Id="rId37" Type="http://schemas.openxmlformats.org/officeDocument/2006/relationships/hyperlink" Target="https://www.enisa.europa.eu/publications/cloud-cybersecurity-market-analysisPage%2048%20-%20Figure%2023:%20Impact%20of%20incidents,%20supply%20side" TargetMode="External"/><Relationship Id="rId40" Type="http://schemas.openxmlformats.org/officeDocument/2006/relationships/table" Target="../tables/table1.xml"/><Relationship Id="rId5" Type="http://schemas.openxmlformats.org/officeDocument/2006/relationships/hyperlink" Target="https://ec.europa.eu/eurostat/databrowser/view/ISOC_CISCE_RA/default/table" TargetMode="External"/><Relationship Id="rId15" Type="http://schemas.openxmlformats.org/officeDocument/2006/relationships/hyperlink" Target="https://www.enisa.europa.eu/publications/nis-investments-2022" TargetMode="External"/><Relationship Id="rId23" Type="http://schemas.openxmlformats.org/officeDocument/2006/relationships/hyperlink" Target="https://ec.europa.eu/eurostat/databrowser/view/ISOC_CISCE_IC/default/table" TargetMode="External"/><Relationship Id="rId28" Type="http://schemas.openxmlformats.org/officeDocument/2006/relationships/hyperlink" Target="https://ciras.enisa.europa.eu/" TargetMode="External"/><Relationship Id="rId36" Type="http://schemas.openxmlformats.org/officeDocument/2006/relationships/hyperlink" Target="https://www.enisa.europa.eu/publications/cloud-cybersecurity-market-analysisPage%2044%20-%20Figure%2019:%20Time%20range%20of%20implementation,%20demand%20side" TargetMode="External"/><Relationship Id="rId10" Type="http://schemas.openxmlformats.org/officeDocument/2006/relationships/hyperlink" Target="https://ec.europa.eu/info/funding-tenders/opportunities/portal/screen/opportunities/horizon-dashboard" TargetMode="External"/><Relationship Id="rId19" Type="http://schemas.openxmlformats.org/officeDocument/2006/relationships/hyperlink" Target="https://ec.europa.eu/eurostat/databrowser/view/ISOC_CISCE_IC/default/table" TargetMode="External"/><Relationship Id="rId31" Type="http://schemas.openxmlformats.org/officeDocument/2006/relationships/hyperlink" Target="https://ciras.enisa.europa.eu/" TargetMode="External"/><Relationship Id="rId4" Type="http://schemas.openxmlformats.org/officeDocument/2006/relationships/hyperlink" Target="https://data.europa.eu/data/datasets/s2249_92_2_499_eng?locale=en" TargetMode="External"/><Relationship Id="rId9" Type="http://schemas.openxmlformats.org/officeDocument/2006/relationships/hyperlink" Target="https://ec.europa.eu/eurostat/databrowser/view/ISOC_CISCE_RA/default/table" TargetMode="External"/><Relationship Id="rId14" Type="http://schemas.openxmlformats.org/officeDocument/2006/relationships/hyperlink" Target="https://www.enisa.europa.eu/publications/nis-investments-2022" TargetMode="External"/><Relationship Id="rId22" Type="http://schemas.openxmlformats.org/officeDocument/2006/relationships/hyperlink" Target="https://ec.europa.eu/eurostat/databrowser/view/ISOC_CISCE_IC/default/table" TargetMode="External"/><Relationship Id="rId27" Type="http://schemas.openxmlformats.org/officeDocument/2006/relationships/hyperlink" Target="https://ciras.enisa.europa.eu/" TargetMode="External"/><Relationship Id="rId30" Type="http://schemas.openxmlformats.org/officeDocument/2006/relationships/hyperlink" Target="https://ciras.enisa.europa.eu/" TargetMode="External"/><Relationship Id="rId35" Type="http://schemas.openxmlformats.org/officeDocument/2006/relationships/hyperlink" Target="https://www.enisa.europa.eu/publications/cloud-cybersecurity-market-analysisPage%2044%20-%20Figure%2020:%20Time%20range%20of%20implementation,%20supply%20side" TargetMode="External"/><Relationship Id="rId8" Type="http://schemas.openxmlformats.org/officeDocument/2006/relationships/hyperlink" Target="https://www.enisa.europa.eu/topics/cybersecurity-education/education-map" TargetMode="External"/><Relationship Id="rId3" Type="http://schemas.openxmlformats.org/officeDocument/2006/relationships/hyperlink" Target="https://ec.europa.eu/eurostat/databrowser/view/isoc_cisci_prv20/default/table?lang=e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85"/>
  <sheetViews>
    <sheetView tabSelected="1" zoomScale="85" zoomScaleNormal="85" workbookViewId="0">
      <selection activeCell="E5" sqref="E5"/>
    </sheetView>
  </sheetViews>
  <sheetFormatPr defaultColWidth="23.33203125" defaultRowHeight="28.5" customHeight="1" x14ac:dyDescent="0.3"/>
  <cols>
    <col min="1" max="1" width="15.6640625" style="79" customWidth="1"/>
    <col min="2" max="3" width="23.33203125" style="79"/>
    <col min="4" max="4" width="28.6640625" style="79" customWidth="1"/>
    <col min="5" max="5" width="73.88671875" style="79" customWidth="1"/>
    <col min="6" max="16384" width="23.33203125" style="79"/>
  </cols>
  <sheetData>
    <row r="1" spans="1:9" ht="28.5" customHeight="1" x14ac:dyDescent="0.3">
      <c r="A1" s="67" t="s">
        <v>393</v>
      </c>
      <c r="B1" s="68" t="s">
        <v>395</v>
      </c>
      <c r="C1" s="68" t="s">
        <v>397</v>
      </c>
      <c r="D1" s="68" t="s">
        <v>398</v>
      </c>
      <c r="E1" s="68" t="s">
        <v>399</v>
      </c>
      <c r="F1" s="68" t="s">
        <v>400</v>
      </c>
      <c r="G1" s="69" t="s">
        <v>401</v>
      </c>
      <c r="H1" s="68" t="s">
        <v>427</v>
      </c>
      <c r="I1" s="135" t="s">
        <v>428</v>
      </c>
    </row>
    <row r="2" spans="1:9" ht="28.2" customHeight="1" x14ac:dyDescent="0.3">
      <c r="A2" s="73">
        <v>1</v>
      </c>
      <c r="B2" s="74" t="s">
        <v>396</v>
      </c>
      <c r="C2" s="63" t="s">
        <v>402</v>
      </c>
      <c r="D2" s="75" t="s">
        <v>403</v>
      </c>
      <c r="E2" s="76" t="s">
        <v>404</v>
      </c>
      <c r="F2" s="63" t="s">
        <v>405</v>
      </c>
      <c r="G2" s="77" t="s">
        <v>406</v>
      </c>
      <c r="H2" s="60" t="s">
        <v>429</v>
      </c>
      <c r="I2" s="78">
        <v>2022</v>
      </c>
    </row>
    <row r="3" spans="1:9" ht="28.5" customHeight="1" x14ac:dyDescent="0.3">
      <c r="A3" s="80">
        <v>2</v>
      </c>
      <c r="B3" s="81" t="s">
        <v>396</v>
      </c>
      <c r="C3" s="64" t="s">
        <v>402</v>
      </c>
      <c r="D3" s="82" t="s">
        <v>407</v>
      </c>
      <c r="E3" s="83" t="s">
        <v>408</v>
      </c>
      <c r="F3" s="64" t="s">
        <v>405</v>
      </c>
      <c r="G3" s="84" t="s">
        <v>409</v>
      </c>
      <c r="H3" s="59" t="s">
        <v>429</v>
      </c>
      <c r="I3" s="85">
        <v>2021</v>
      </c>
    </row>
    <row r="4" spans="1:9" ht="28.5" customHeight="1" x14ac:dyDescent="0.3">
      <c r="A4" s="86">
        <v>3</v>
      </c>
      <c r="B4" s="74" t="s">
        <v>396</v>
      </c>
      <c r="C4" s="63" t="s">
        <v>402</v>
      </c>
      <c r="D4" s="75" t="s">
        <v>410</v>
      </c>
      <c r="E4" s="87" t="s">
        <v>411</v>
      </c>
      <c r="F4" s="63" t="s">
        <v>412</v>
      </c>
      <c r="G4" s="88" t="s">
        <v>413</v>
      </c>
      <c r="H4" s="60" t="s">
        <v>429</v>
      </c>
      <c r="I4" s="89">
        <v>2019</v>
      </c>
    </row>
    <row r="5" spans="1:9" ht="33.6" customHeight="1" x14ac:dyDescent="0.3">
      <c r="A5" s="90" t="s">
        <v>394</v>
      </c>
      <c r="B5" s="81" t="s">
        <v>396</v>
      </c>
      <c r="C5" s="64" t="s">
        <v>402</v>
      </c>
      <c r="D5" s="82" t="s">
        <v>414</v>
      </c>
      <c r="E5" s="91" t="s">
        <v>612</v>
      </c>
      <c r="F5" s="64" t="s">
        <v>405</v>
      </c>
      <c r="G5" s="92" t="s">
        <v>406</v>
      </c>
      <c r="H5" s="59" t="s">
        <v>429</v>
      </c>
      <c r="I5" s="93">
        <v>2022</v>
      </c>
    </row>
    <row r="6" spans="1:9" ht="28.5" customHeight="1" x14ac:dyDescent="0.3">
      <c r="A6" s="86">
        <v>9</v>
      </c>
      <c r="B6" s="74" t="s">
        <v>396</v>
      </c>
      <c r="C6" s="63" t="s">
        <v>415</v>
      </c>
      <c r="D6" s="75" t="s">
        <v>416</v>
      </c>
      <c r="E6" s="87" t="s">
        <v>417</v>
      </c>
      <c r="F6" s="63" t="s">
        <v>418</v>
      </c>
      <c r="G6" s="94" t="s">
        <v>419</v>
      </c>
      <c r="H6" s="60" t="s">
        <v>429</v>
      </c>
      <c r="I6" s="89">
        <v>2022</v>
      </c>
    </row>
    <row r="7" spans="1:9" ht="28.5" customHeight="1" x14ac:dyDescent="0.3">
      <c r="A7" s="80">
        <v>4</v>
      </c>
      <c r="B7" s="81" t="s">
        <v>396</v>
      </c>
      <c r="C7" s="64" t="s">
        <v>415</v>
      </c>
      <c r="D7" s="82" t="s">
        <v>420</v>
      </c>
      <c r="E7" s="83" t="s">
        <v>421</v>
      </c>
      <c r="F7" s="64" t="s">
        <v>405</v>
      </c>
      <c r="G7" s="95" t="s">
        <v>406</v>
      </c>
      <c r="H7" s="59" t="s">
        <v>429</v>
      </c>
      <c r="I7" s="93">
        <v>2022</v>
      </c>
    </row>
    <row r="8" spans="1:9" ht="50.4" customHeight="1" x14ac:dyDescent="0.3">
      <c r="A8" s="86">
        <v>5</v>
      </c>
      <c r="B8" s="74" t="s">
        <v>396</v>
      </c>
      <c r="C8" s="63" t="s">
        <v>415</v>
      </c>
      <c r="D8" s="75" t="s">
        <v>422</v>
      </c>
      <c r="E8" s="87" t="s">
        <v>423</v>
      </c>
      <c r="F8" s="63" t="s">
        <v>412</v>
      </c>
      <c r="G8" s="77" t="s">
        <v>413</v>
      </c>
      <c r="H8" s="60" t="s">
        <v>429</v>
      </c>
      <c r="I8" s="89">
        <v>2019</v>
      </c>
    </row>
    <row r="9" spans="1:9" ht="28.5" customHeight="1" x14ac:dyDescent="0.3">
      <c r="A9" s="80">
        <v>6</v>
      </c>
      <c r="B9" s="81" t="s">
        <v>396</v>
      </c>
      <c r="C9" s="64" t="s">
        <v>415</v>
      </c>
      <c r="D9" s="82" t="s">
        <v>424</v>
      </c>
      <c r="E9" s="96" t="s">
        <v>425</v>
      </c>
      <c r="F9" s="64" t="s">
        <v>412</v>
      </c>
      <c r="G9" s="84" t="s">
        <v>426</v>
      </c>
      <c r="H9" s="59" t="s">
        <v>429</v>
      </c>
      <c r="I9" s="93">
        <v>2021</v>
      </c>
    </row>
    <row r="10" spans="1:9" ht="28.5" customHeight="1" x14ac:dyDescent="0.3">
      <c r="A10" s="97" t="s">
        <v>430</v>
      </c>
      <c r="B10" s="74" t="s">
        <v>396</v>
      </c>
      <c r="C10" s="63" t="s">
        <v>415</v>
      </c>
      <c r="D10" s="75" t="s">
        <v>431</v>
      </c>
      <c r="E10" s="87" t="s">
        <v>432</v>
      </c>
      <c r="F10" s="63" t="s">
        <v>405</v>
      </c>
      <c r="G10" s="98" t="s">
        <v>406</v>
      </c>
      <c r="H10" s="60" t="s">
        <v>429</v>
      </c>
      <c r="I10" s="89">
        <v>2022</v>
      </c>
    </row>
    <row r="11" spans="1:9" ht="28.5" customHeight="1" x14ac:dyDescent="0.3">
      <c r="A11" s="80">
        <v>8</v>
      </c>
      <c r="B11" s="81" t="s">
        <v>396</v>
      </c>
      <c r="C11" s="64" t="s">
        <v>433</v>
      </c>
      <c r="D11" s="82" t="s">
        <v>434</v>
      </c>
      <c r="E11" s="83" t="s">
        <v>435</v>
      </c>
      <c r="F11" s="64" t="s">
        <v>436</v>
      </c>
      <c r="G11" s="99" t="s">
        <v>437</v>
      </c>
      <c r="H11" s="59" t="s">
        <v>429</v>
      </c>
      <c r="I11" s="93">
        <v>2023</v>
      </c>
    </row>
    <row r="12" spans="1:9" ht="28.5" customHeight="1" x14ac:dyDescent="0.3">
      <c r="A12" s="86">
        <v>39</v>
      </c>
      <c r="B12" s="74" t="s">
        <v>396</v>
      </c>
      <c r="C12" s="63" t="s">
        <v>433</v>
      </c>
      <c r="D12" s="100" t="s">
        <v>181</v>
      </c>
      <c r="E12" s="101" t="s">
        <v>582</v>
      </c>
      <c r="F12" s="63" t="s">
        <v>429</v>
      </c>
      <c r="G12" s="102" t="s">
        <v>438</v>
      </c>
      <c r="H12" s="60" t="s">
        <v>429</v>
      </c>
      <c r="I12" s="89">
        <v>2023</v>
      </c>
    </row>
    <row r="13" spans="1:9" ht="28.5" customHeight="1" x14ac:dyDescent="0.3">
      <c r="A13" s="80">
        <v>10</v>
      </c>
      <c r="B13" s="81" t="s">
        <v>396</v>
      </c>
      <c r="C13" s="64" t="s">
        <v>433</v>
      </c>
      <c r="D13" s="103" t="s">
        <v>180</v>
      </c>
      <c r="E13" s="104" t="s">
        <v>584</v>
      </c>
      <c r="F13" s="64" t="s">
        <v>429</v>
      </c>
      <c r="G13" s="105" t="s">
        <v>438</v>
      </c>
      <c r="H13" s="61" t="s">
        <v>429</v>
      </c>
      <c r="I13" s="93">
        <v>2023</v>
      </c>
    </row>
    <row r="14" spans="1:9" ht="28.5" customHeight="1" x14ac:dyDescent="0.3">
      <c r="A14" s="86">
        <v>12</v>
      </c>
      <c r="B14" s="74" t="s">
        <v>396</v>
      </c>
      <c r="C14" s="63" t="s">
        <v>433</v>
      </c>
      <c r="D14" s="100" t="s">
        <v>28</v>
      </c>
      <c r="E14" s="106" t="s">
        <v>583</v>
      </c>
      <c r="F14" s="63" t="s">
        <v>429</v>
      </c>
      <c r="G14" s="102" t="s">
        <v>438</v>
      </c>
      <c r="H14" s="60" t="s">
        <v>429</v>
      </c>
      <c r="I14" s="89">
        <v>2023</v>
      </c>
    </row>
    <row r="15" spans="1:9" ht="28.5" customHeight="1" x14ac:dyDescent="0.3">
      <c r="A15" s="80">
        <v>19</v>
      </c>
      <c r="B15" s="81" t="s">
        <v>439</v>
      </c>
      <c r="C15" s="64" t="s">
        <v>440</v>
      </c>
      <c r="D15" s="82" t="s">
        <v>441</v>
      </c>
      <c r="E15" s="83" t="s">
        <v>442</v>
      </c>
      <c r="F15" s="64" t="s">
        <v>405</v>
      </c>
      <c r="G15" s="84" t="s">
        <v>406</v>
      </c>
      <c r="H15" s="59" t="s">
        <v>429</v>
      </c>
      <c r="I15" s="93">
        <v>2022</v>
      </c>
    </row>
    <row r="16" spans="1:9" ht="28.5" customHeight="1" x14ac:dyDescent="0.3">
      <c r="A16" s="86">
        <v>32</v>
      </c>
      <c r="B16" s="74" t="s">
        <v>439</v>
      </c>
      <c r="C16" s="63" t="s">
        <v>440</v>
      </c>
      <c r="D16" s="75" t="s">
        <v>443</v>
      </c>
      <c r="E16" s="87" t="s">
        <v>444</v>
      </c>
      <c r="F16" s="63" t="s">
        <v>445</v>
      </c>
      <c r="G16" s="88" t="s">
        <v>446</v>
      </c>
      <c r="H16" s="60" t="s">
        <v>429</v>
      </c>
      <c r="I16" s="89">
        <v>2020</v>
      </c>
    </row>
    <row r="17" spans="1:9" ht="28.5" customHeight="1" x14ac:dyDescent="0.3">
      <c r="A17" s="80">
        <v>18</v>
      </c>
      <c r="B17" s="81" t="s">
        <v>439</v>
      </c>
      <c r="C17" s="64" t="s">
        <v>440</v>
      </c>
      <c r="D17" s="82" t="s">
        <v>447</v>
      </c>
      <c r="E17" s="83" t="s">
        <v>611</v>
      </c>
      <c r="F17" s="64" t="s">
        <v>405</v>
      </c>
      <c r="G17" s="84" t="s">
        <v>406</v>
      </c>
      <c r="H17" s="59" t="s">
        <v>429</v>
      </c>
      <c r="I17" s="93">
        <v>2022</v>
      </c>
    </row>
    <row r="18" spans="1:9" ht="28.5" customHeight="1" x14ac:dyDescent="0.3">
      <c r="A18" s="86">
        <v>35</v>
      </c>
      <c r="B18" s="74" t="s">
        <v>439</v>
      </c>
      <c r="C18" s="63" t="s">
        <v>440</v>
      </c>
      <c r="D18" s="75" t="s">
        <v>448</v>
      </c>
      <c r="E18" s="87" t="s">
        <v>449</v>
      </c>
      <c r="F18" s="63" t="s">
        <v>450</v>
      </c>
      <c r="G18" s="77" t="s">
        <v>451</v>
      </c>
      <c r="H18" s="60" t="s">
        <v>429</v>
      </c>
      <c r="I18" s="89">
        <v>2023</v>
      </c>
    </row>
    <row r="19" spans="1:9" ht="28.5" customHeight="1" x14ac:dyDescent="0.3">
      <c r="A19" s="80">
        <v>15</v>
      </c>
      <c r="B19" s="81" t="s">
        <v>439</v>
      </c>
      <c r="C19" s="64" t="s">
        <v>452</v>
      </c>
      <c r="D19" s="82" t="s">
        <v>453</v>
      </c>
      <c r="E19" s="83" t="s">
        <v>454</v>
      </c>
      <c r="F19" s="64" t="s">
        <v>450</v>
      </c>
      <c r="G19" s="84" t="s">
        <v>451</v>
      </c>
      <c r="H19" s="59" t="s">
        <v>429</v>
      </c>
      <c r="I19" s="93">
        <v>2023</v>
      </c>
    </row>
    <row r="20" spans="1:9" ht="28.5" customHeight="1" x14ac:dyDescent="0.3">
      <c r="A20" s="86">
        <v>21</v>
      </c>
      <c r="B20" s="74" t="s">
        <v>439</v>
      </c>
      <c r="C20" s="63" t="s">
        <v>452</v>
      </c>
      <c r="D20" s="75" t="s">
        <v>455</v>
      </c>
      <c r="E20" s="87" t="s">
        <v>456</v>
      </c>
      <c r="F20" s="63" t="s">
        <v>405</v>
      </c>
      <c r="G20" s="77" t="s">
        <v>457</v>
      </c>
      <c r="H20" s="107" t="s">
        <v>429</v>
      </c>
      <c r="I20" s="89">
        <v>2021</v>
      </c>
    </row>
    <row r="21" spans="1:9" ht="28.5" customHeight="1" x14ac:dyDescent="0.3">
      <c r="A21" s="80">
        <v>22</v>
      </c>
      <c r="B21" s="81" t="s">
        <v>439</v>
      </c>
      <c r="C21" s="64" t="s">
        <v>452</v>
      </c>
      <c r="D21" s="82" t="s">
        <v>458</v>
      </c>
      <c r="E21" s="83" t="s">
        <v>459</v>
      </c>
      <c r="F21" s="64" t="s">
        <v>405</v>
      </c>
      <c r="G21" s="92" t="s">
        <v>460</v>
      </c>
      <c r="H21" s="108" t="s">
        <v>429</v>
      </c>
      <c r="I21" s="93">
        <v>2021</v>
      </c>
    </row>
    <row r="22" spans="1:9" ht="28.5" customHeight="1" x14ac:dyDescent="0.3">
      <c r="A22" s="86">
        <v>23</v>
      </c>
      <c r="B22" s="74" t="s">
        <v>439</v>
      </c>
      <c r="C22" s="63" t="s">
        <v>452</v>
      </c>
      <c r="D22" s="75" t="s">
        <v>461</v>
      </c>
      <c r="E22" s="87" t="s">
        <v>462</v>
      </c>
      <c r="F22" s="63" t="s">
        <v>436</v>
      </c>
      <c r="G22" s="88" t="s">
        <v>437</v>
      </c>
      <c r="H22" s="60" t="s">
        <v>429</v>
      </c>
      <c r="I22" s="89">
        <v>2023</v>
      </c>
    </row>
    <row r="23" spans="1:9" ht="28.5" customHeight="1" x14ac:dyDescent="0.3">
      <c r="A23" s="80">
        <v>25</v>
      </c>
      <c r="B23" s="81" t="s">
        <v>439</v>
      </c>
      <c r="C23" s="64" t="s">
        <v>463</v>
      </c>
      <c r="D23" s="82" t="s">
        <v>464</v>
      </c>
      <c r="E23" s="83" t="s">
        <v>465</v>
      </c>
      <c r="F23" s="64" t="s">
        <v>405</v>
      </c>
      <c r="G23" s="109" t="s">
        <v>460</v>
      </c>
      <c r="H23" s="59" t="s">
        <v>429</v>
      </c>
      <c r="I23" s="93">
        <v>2022</v>
      </c>
    </row>
    <row r="24" spans="1:9" ht="28.5" customHeight="1" x14ac:dyDescent="0.3">
      <c r="A24" s="86">
        <v>27</v>
      </c>
      <c r="B24" s="74" t="s">
        <v>439</v>
      </c>
      <c r="C24" s="63" t="s">
        <v>463</v>
      </c>
      <c r="D24" s="75" t="s">
        <v>466</v>
      </c>
      <c r="E24" s="87" t="s">
        <v>467</v>
      </c>
      <c r="F24" s="63" t="s">
        <v>405</v>
      </c>
      <c r="G24" s="110" t="s">
        <v>460</v>
      </c>
      <c r="H24" s="60" t="s">
        <v>429</v>
      </c>
      <c r="I24" s="89">
        <v>2022</v>
      </c>
    </row>
    <row r="25" spans="1:9" ht="28.5" customHeight="1" x14ac:dyDescent="0.3">
      <c r="A25" s="80">
        <v>29</v>
      </c>
      <c r="B25" s="81" t="s">
        <v>439</v>
      </c>
      <c r="C25" s="64" t="s">
        <v>463</v>
      </c>
      <c r="D25" s="82" t="s">
        <v>468</v>
      </c>
      <c r="E25" s="83" t="s">
        <v>469</v>
      </c>
      <c r="F25" s="64" t="s">
        <v>405</v>
      </c>
      <c r="G25" s="109" t="s">
        <v>460</v>
      </c>
      <c r="H25" s="59" t="s">
        <v>429</v>
      </c>
      <c r="I25" s="93">
        <v>2022</v>
      </c>
    </row>
    <row r="26" spans="1:9" ht="28.5" customHeight="1" x14ac:dyDescent="0.3">
      <c r="A26" s="86">
        <v>26</v>
      </c>
      <c r="B26" s="74" t="s">
        <v>439</v>
      </c>
      <c r="C26" s="63" t="s">
        <v>470</v>
      </c>
      <c r="D26" s="75" t="s">
        <v>471</v>
      </c>
      <c r="E26" s="87" t="s">
        <v>472</v>
      </c>
      <c r="F26" s="63" t="s">
        <v>405</v>
      </c>
      <c r="G26" s="110" t="s">
        <v>460</v>
      </c>
      <c r="H26" s="60" t="s">
        <v>429</v>
      </c>
      <c r="I26" s="89">
        <v>2022</v>
      </c>
    </row>
    <row r="27" spans="1:9" ht="28.5" customHeight="1" x14ac:dyDescent="0.3">
      <c r="A27" s="80">
        <v>28</v>
      </c>
      <c r="B27" s="81" t="s">
        <v>439</v>
      </c>
      <c r="C27" s="64" t="s">
        <v>470</v>
      </c>
      <c r="D27" s="82" t="s">
        <v>473</v>
      </c>
      <c r="E27" s="83" t="s">
        <v>474</v>
      </c>
      <c r="F27" s="64" t="s">
        <v>405</v>
      </c>
      <c r="G27" s="109" t="s">
        <v>460</v>
      </c>
      <c r="H27" s="59" t="s">
        <v>429</v>
      </c>
      <c r="I27" s="93">
        <v>2022</v>
      </c>
    </row>
    <row r="28" spans="1:9" ht="28.5" customHeight="1" x14ac:dyDescent="0.3">
      <c r="A28" s="86">
        <v>30</v>
      </c>
      <c r="B28" s="74" t="s">
        <v>439</v>
      </c>
      <c r="C28" s="63" t="s">
        <v>470</v>
      </c>
      <c r="D28" s="75" t="s">
        <v>475</v>
      </c>
      <c r="E28" s="87" t="s">
        <v>476</v>
      </c>
      <c r="F28" s="63" t="s">
        <v>405</v>
      </c>
      <c r="G28" s="111" t="s">
        <v>460</v>
      </c>
      <c r="H28" s="60" t="s">
        <v>429</v>
      </c>
      <c r="I28" s="89">
        <v>2022</v>
      </c>
    </row>
    <row r="29" spans="1:9" ht="28.5" customHeight="1" x14ac:dyDescent="0.3">
      <c r="A29" s="80">
        <v>40</v>
      </c>
      <c r="B29" s="81" t="s">
        <v>477</v>
      </c>
      <c r="C29" s="64" t="s">
        <v>478</v>
      </c>
      <c r="D29" s="103" t="s">
        <v>183</v>
      </c>
      <c r="E29" s="112" t="s">
        <v>583</v>
      </c>
      <c r="F29" s="64" t="s">
        <v>429</v>
      </c>
      <c r="G29" s="105" t="s">
        <v>438</v>
      </c>
      <c r="H29" s="59" t="s">
        <v>429</v>
      </c>
      <c r="I29" s="93">
        <v>2023</v>
      </c>
    </row>
    <row r="30" spans="1:9" ht="28.5" customHeight="1" x14ac:dyDescent="0.3">
      <c r="A30" s="86">
        <v>43</v>
      </c>
      <c r="B30" s="74" t="s">
        <v>477</v>
      </c>
      <c r="C30" s="63" t="s">
        <v>478</v>
      </c>
      <c r="D30" s="100" t="s">
        <v>186</v>
      </c>
      <c r="E30" s="106" t="s">
        <v>588</v>
      </c>
      <c r="F30" s="63" t="s">
        <v>429</v>
      </c>
      <c r="G30" s="102" t="s">
        <v>438</v>
      </c>
      <c r="H30" s="60" t="s">
        <v>429</v>
      </c>
      <c r="I30" s="89">
        <v>2023</v>
      </c>
    </row>
    <row r="31" spans="1:9" ht="28.5" customHeight="1" x14ac:dyDescent="0.3">
      <c r="A31" s="80">
        <v>46</v>
      </c>
      <c r="B31" s="81" t="s">
        <v>477</v>
      </c>
      <c r="C31" s="64" t="s">
        <v>478</v>
      </c>
      <c r="D31" s="103" t="s">
        <v>254</v>
      </c>
      <c r="E31" s="112" t="s">
        <v>585</v>
      </c>
      <c r="F31" s="64" t="s">
        <v>429</v>
      </c>
      <c r="G31" s="105" t="s">
        <v>438</v>
      </c>
      <c r="H31" s="59" t="s">
        <v>429</v>
      </c>
      <c r="I31" s="93">
        <v>2023</v>
      </c>
    </row>
    <row r="32" spans="1:9" ht="28.5" customHeight="1" x14ac:dyDescent="0.3">
      <c r="A32" s="86">
        <v>13</v>
      </c>
      <c r="B32" s="74" t="s">
        <v>477</v>
      </c>
      <c r="C32" s="63" t="s">
        <v>480</v>
      </c>
      <c r="D32" s="75" t="s">
        <v>481</v>
      </c>
      <c r="E32" s="113" t="s">
        <v>482</v>
      </c>
      <c r="F32" s="63" t="s">
        <v>483</v>
      </c>
      <c r="G32" s="102" t="s">
        <v>483</v>
      </c>
      <c r="H32" s="60" t="s">
        <v>429</v>
      </c>
      <c r="I32" s="89">
        <v>2023</v>
      </c>
    </row>
    <row r="33" spans="1:9" ht="28.5" customHeight="1" x14ac:dyDescent="0.3">
      <c r="A33" s="80">
        <v>45</v>
      </c>
      <c r="B33" s="81" t="s">
        <v>477</v>
      </c>
      <c r="C33" s="64" t="s">
        <v>480</v>
      </c>
      <c r="D33" s="82" t="s">
        <v>484</v>
      </c>
      <c r="E33" s="104" t="s">
        <v>485</v>
      </c>
      <c r="F33" s="64" t="s">
        <v>483</v>
      </c>
      <c r="G33" s="104" t="s">
        <v>483</v>
      </c>
      <c r="H33" s="59" t="s">
        <v>429</v>
      </c>
      <c r="I33" s="93">
        <v>2023</v>
      </c>
    </row>
    <row r="34" spans="1:9" ht="28.5" customHeight="1" x14ac:dyDescent="0.3">
      <c r="A34" s="86">
        <v>47</v>
      </c>
      <c r="B34" s="74" t="s">
        <v>477</v>
      </c>
      <c r="C34" s="63" t="s">
        <v>480</v>
      </c>
      <c r="D34" s="75" t="s">
        <v>486</v>
      </c>
      <c r="E34" s="101" t="s">
        <v>487</v>
      </c>
      <c r="F34" s="63" t="s">
        <v>483</v>
      </c>
      <c r="G34" s="102" t="s">
        <v>483</v>
      </c>
      <c r="H34" s="60" t="s">
        <v>429</v>
      </c>
      <c r="I34" s="89">
        <v>2023</v>
      </c>
    </row>
    <row r="35" spans="1:9" ht="28.5" customHeight="1" x14ac:dyDescent="0.3">
      <c r="A35" s="80">
        <v>14</v>
      </c>
      <c r="B35" s="81" t="s">
        <v>477</v>
      </c>
      <c r="C35" s="64" t="s">
        <v>480</v>
      </c>
      <c r="D35" s="82" t="s">
        <v>488</v>
      </c>
      <c r="E35" s="113" t="s">
        <v>581</v>
      </c>
      <c r="F35" s="64" t="s">
        <v>483</v>
      </c>
      <c r="G35" s="105" t="s">
        <v>483</v>
      </c>
      <c r="H35" s="59" t="s">
        <v>429</v>
      </c>
      <c r="I35" s="93">
        <v>2023</v>
      </c>
    </row>
    <row r="36" spans="1:9" ht="28.5" customHeight="1" x14ac:dyDescent="0.3">
      <c r="A36" s="86">
        <v>36</v>
      </c>
      <c r="B36" s="74" t="s">
        <v>477</v>
      </c>
      <c r="C36" s="63" t="s">
        <v>489</v>
      </c>
      <c r="D36" s="75" t="s">
        <v>490</v>
      </c>
      <c r="E36" s="114" t="s">
        <v>491</v>
      </c>
      <c r="F36" s="63" t="s">
        <v>492</v>
      </c>
      <c r="G36" s="102" t="s">
        <v>492</v>
      </c>
      <c r="H36" s="60" t="s">
        <v>429</v>
      </c>
      <c r="I36" s="89">
        <v>2023</v>
      </c>
    </row>
    <row r="37" spans="1:9" ht="28.5" customHeight="1" x14ac:dyDescent="0.3">
      <c r="A37" s="80">
        <v>44</v>
      </c>
      <c r="B37" s="81" t="s">
        <v>477</v>
      </c>
      <c r="C37" s="64" t="s">
        <v>489</v>
      </c>
      <c r="D37" s="103" t="s">
        <v>253</v>
      </c>
      <c r="E37" s="104" t="s">
        <v>587</v>
      </c>
      <c r="F37" s="64" t="s">
        <v>429</v>
      </c>
      <c r="G37" s="105" t="s">
        <v>438</v>
      </c>
      <c r="H37" s="59" t="s">
        <v>429</v>
      </c>
      <c r="I37" s="93">
        <v>2023</v>
      </c>
    </row>
    <row r="38" spans="1:9" ht="28.5" customHeight="1" x14ac:dyDescent="0.3">
      <c r="A38" s="86">
        <v>37</v>
      </c>
      <c r="B38" s="74" t="s">
        <v>477</v>
      </c>
      <c r="C38" s="63" t="s">
        <v>489</v>
      </c>
      <c r="D38" s="75" t="s">
        <v>493</v>
      </c>
      <c r="E38" s="114" t="s">
        <v>494</v>
      </c>
      <c r="F38" s="63" t="s">
        <v>495</v>
      </c>
      <c r="G38" s="77" t="s">
        <v>496</v>
      </c>
      <c r="H38" s="62" t="s">
        <v>429</v>
      </c>
      <c r="I38" s="89">
        <v>2023</v>
      </c>
    </row>
    <row r="39" spans="1:9" ht="28.5" customHeight="1" x14ac:dyDescent="0.3">
      <c r="A39" s="80">
        <v>38</v>
      </c>
      <c r="B39" s="81" t="s">
        <v>477</v>
      </c>
      <c r="C39" s="64" t="s">
        <v>497</v>
      </c>
      <c r="D39" s="103" t="s">
        <v>252</v>
      </c>
      <c r="E39" s="104" t="s">
        <v>586</v>
      </c>
      <c r="F39" s="64" t="s">
        <v>429</v>
      </c>
      <c r="G39" s="105" t="s">
        <v>438</v>
      </c>
      <c r="H39" s="108" t="s">
        <v>429</v>
      </c>
      <c r="I39" s="93">
        <v>2023</v>
      </c>
    </row>
    <row r="40" spans="1:9" ht="28.5" customHeight="1" x14ac:dyDescent="0.3">
      <c r="A40" s="86">
        <v>41</v>
      </c>
      <c r="B40" s="74" t="s">
        <v>477</v>
      </c>
      <c r="C40" s="63" t="s">
        <v>497</v>
      </c>
      <c r="D40" s="100" t="s">
        <v>184</v>
      </c>
      <c r="E40" s="101" t="s">
        <v>589</v>
      </c>
      <c r="F40" s="63" t="s">
        <v>429</v>
      </c>
      <c r="G40" s="102" t="s">
        <v>438</v>
      </c>
      <c r="H40" s="62" t="s">
        <v>429</v>
      </c>
      <c r="I40" s="89">
        <v>2023</v>
      </c>
    </row>
    <row r="41" spans="1:9" ht="28.5" customHeight="1" x14ac:dyDescent="0.3">
      <c r="A41" s="80">
        <v>42</v>
      </c>
      <c r="B41" s="81" t="s">
        <v>477</v>
      </c>
      <c r="C41" s="64" t="s">
        <v>497</v>
      </c>
      <c r="D41" s="103" t="s">
        <v>185</v>
      </c>
      <c r="E41" s="104" t="s">
        <v>583</v>
      </c>
      <c r="F41" s="64" t="s">
        <v>429</v>
      </c>
      <c r="G41" s="105" t="s">
        <v>438</v>
      </c>
      <c r="H41" s="59" t="s">
        <v>429</v>
      </c>
      <c r="I41" s="93">
        <v>2023</v>
      </c>
    </row>
    <row r="42" spans="1:9" ht="28.5" customHeight="1" x14ac:dyDescent="0.3">
      <c r="A42" s="86">
        <v>48</v>
      </c>
      <c r="B42" s="74" t="s">
        <v>477</v>
      </c>
      <c r="C42" s="63" t="s">
        <v>498</v>
      </c>
      <c r="D42" s="75" t="s">
        <v>499</v>
      </c>
      <c r="E42" s="115" t="s">
        <v>500</v>
      </c>
      <c r="F42" s="63" t="s">
        <v>501</v>
      </c>
      <c r="G42" s="110" t="s">
        <v>502</v>
      </c>
      <c r="H42" s="60" t="s">
        <v>429</v>
      </c>
      <c r="I42" s="89">
        <v>2022</v>
      </c>
    </row>
    <row r="43" spans="1:9" ht="28.5" customHeight="1" x14ac:dyDescent="0.3">
      <c r="A43" s="80">
        <v>49</v>
      </c>
      <c r="B43" s="81" t="s">
        <v>477</v>
      </c>
      <c r="C43" s="64" t="s">
        <v>498</v>
      </c>
      <c r="D43" s="82" t="s">
        <v>503</v>
      </c>
      <c r="E43" s="116" t="s">
        <v>504</v>
      </c>
      <c r="F43" s="64" t="s">
        <v>501</v>
      </c>
      <c r="G43" s="109" t="s">
        <v>502</v>
      </c>
      <c r="H43" s="59" t="s">
        <v>429</v>
      </c>
      <c r="I43" s="93">
        <v>2022</v>
      </c>
    </row>
    <row r="44" spans="1:9" ht="28.5" customHeight="1" x14ac:dyDescent="0.3">
      <c r="A44" s="86">
        <v>50</v>
      </c>
      <c r="B44" s="74" t="s">
        <v>477</v>
      </c>
      <c r="C44" s="63" t="s">
        <v>498</v>
      </c>
      <c r="D44" s="75" t="s">
        <v>505</v>
      </c>
      <c r="E44" s="115" t="s">
        <v>506</v>
      </c>
      <c r="F44" s="63" t="s">
        <v>501</v>
      </c>
      <c r="G44" s="110" t="s">
        <v>502</v>
      </c>
      <c r="H44" s="60" t="s">
        <v>429</v>
      </c>
      <c r="I44" s="89">
        <v>2022</v>
      </c>
    </row>
    <row r="45" spans="1:9" ht="28.5" customHeight="1" x14ac:dyDescent="0.3">
      <c r="A45" s="80">
        <v>51</v>
      </c>
      <c r="B45" s="81" t="s">
        <v>477</v>
      </c>
      <c r="C45" s="64" t="s">
        <v>498</v>
      </c>
      <c r="D45" s="82" t="s">
        <v>507</v>
      </c>
      <c r="E45" s="116" t="s">
        <v>508</v>
      </c>
      <c r="F45" s="64" t="s">
        <v>501</v>
      </c>
      <c r="G45" s="109" t="s">
        <v>502</v>
      </c>
      <c r="H45" s="59" t="s">
        <v>429</v>
      </c>
      <c r="I45" s="93">
        <v>2022</v>
      </c>
    </row>
    <row r="46" spans="1:9" ht="28.5" customHeight="1" x14ac:dyDescent="0.3">
      <c r="A46" s="86">
        <v>52</v>
      </c>
      <c r="B46" s="74" t="s">
        <v>477</v>
      </c>
      <c r="C46" s="63" t="s">
        <v>498</v>
      </c>
      <c r="D46" s="75" t="s">
        <v>509</v>
      </c>
      <c r="E46" s="115" t="s">
        <v>510</v>
      </c>
      <c r="F46" s="63" t="s">
        <v>501</v>
      </c>
      <c r="G46" s="110" t="s">
        <v>502</v>
      </c>
      <c r="H46" s="60" t="s">
        <v>429</v>
      </c>
      <c r="I46" s="89">
        <v>2022</v>
      </c>
    </row>
    <row r="47" spans="1:9" ht="28.5" customHeight="1" x14ac:dyDescent="0.3">
      <c r="A47" s="80">
        <v>63</v>
      </c>
      <c r="B47" s="81" t="s">
        <v>479</v>
      </c>
      <c r="C47" s="64" t="s">
        <v>511</v>
      </c>
      <c r="D47" s="103" t="s">
        <v>257</v>
      </c>
      <c r="E47" s="104" t="s">
        <v>590</v>
      </c>
      <c r="F47" s="64" t="s">
        <v>429</v>
      </c>
      <c r="G47" s="105" t="s">
        <v>438</v>
      </c>
      <c r="H47" s="59" t="s">
        <v>429</v>
      </c>
      <c r="I47" s="93">
        <v>2023</v>
      </c>
    </row>
    <row r="48" spans="1:9" ht="28.5" customHeight="1" x14ac:dyDescent="0.3">
      <c r="A48" s="86">
        <v>58</v>
      </c>
      <c r="B48" s="74" t="s">
        <v>479</v>
      </c>
      <c r="C48" s="63" t="s">
        <v>511</v>
      </c>
      <c r="D48" s="100" t="s">
        <v>190</v>
      </c>
      <c r="E48" s="115" t="s">
        <v>591</v>
      </c>
      <c r="F48" s="63" t="s">
        <v>429</v>
      </c>
      <c r="G48" s="102" t="s">
        <v>438</v>
      </c>
      <c r="H48" s="60" t="s">
        <v>429</v>
      </c>
      <c r="I48" s="89">
        <v>2023</v>
      </c>
    </row>
    <row r="49" spans="1:9" ht="28.5" customHeight="1" x14ac:dyDescent="0.3">
      <c r="A49" s="80">
        <v>59</v>
      </c>
      <c r="B49" s="81" t="s">
        <v>479</v>
      </c>
      <c r="C49" s="64" t="s">
        <v>511</v>
      </c>
      <c r="D49" s="103" t="s">
        <v>255</v>
      </c>
      <c r="E49" s="116" t="s">
        <v>592</v>
      </c>
      <c r="F49" s="65" t="s">
        <v>429</v>
      </c>
      <c r="G49" s="117" t="s">
        <v>438</v>
      </c>
      <c r="H49" s="108" t="s">
        <v>429</v>
      </c>
      <c r="I49" s="93">
        <v>2023</v>
      </c>
    </row>
    <row r="50" spans="1:9" ht="28.5" customHeight="1" x14ac:dyDescent="0.3">
      <c r="A50" s="86">
        <v>60</v>
      </c>
      <c r="B50" s="74" t="s">
        <v>479</v>
      </c>
      <c r="C50" s="63" t="s">
        <v>511</v>
      </c>
      <c r="D50" s="100" t="s">
        <v>256</v>
      </c>
      <c r="E50" s="101" t="s">
        <v>512</v>
      </c>
      <c r="F50" s="66" t="s">
        <v>429</v>
      </c>
      <c r="G50" s="118" t="s">
        <v>438</v>
      </c>
      <c r="H50" s="60" t="s">
        <v>429</v>
      </c>
      <c r="I50" s="89">
        <v>2023</v>
      </c>
    </row>
    <row r="51" spans="1:9" ht="28.5" customHeight="1" x14ac:dyDescent="0.3">
      <c r="A51" s="80">
        <v>64</v>
      </c>
      <c r="B51" s="81" t="s">
        <v>479</v>
      </c>
      <c r="C51" s="64" t="s">
        <v>513</v>
      </c>
      <c r="D51" s="82" t="s">
        <v>514</v>
      </c>
      <c r="E51" s="104" t="s">
        <v>515</v>
      </c>
      <c r="F51" s="64" t="s">
        <v>516</v>
      </c>
      <c r="G51" s="105" t="s">
        <v>517</v>
      </c>
      <c r="H51" s="59" t="s">
        <v>429</v>
      </c>
      <c r="I51" s="93">
        <v>2023</v>
      </c>
    </row>
    <row r="52" spans="1:9" ht="28.5" customHeight="1" x14ac:dyDescent="0.3">
      <c r="A52" s="86">
        <v>65</v>
      </c>
      <c r="B52" s="74" t="s">
        <v>479</v>
      </c>
      <c r="C52" s="63" t="s">
        <v>513</v>
      </c>
      <c r="D52" s="100" t="s">
        <v>192</v>
      </c>
      <c r="E52" s="101" t="s">
        <v>593</v>
      </c>
      <c r="F52" s="63" t="s">
        <v>429</v>
      </c>
      <c r="G52" s="102" t="s">
        <v>438</v>
      </c>
      <c r="H52" s="60" t="s">
        <v>429</v>
      </c>
      <c r="I52" s="89">
        <v>2023</v>
      </c>
    </row>
    <row r="53" spans="1:9" ht="28.5" customHeight="1" x14ac:dyDescent="0.3">
      <c r="A53" s="80">
        <v>66</v>
      </c>
      <c r="B53" s="81" t="s">
        <v>479</v>
      </c>
      <c r="C53" s="64" t="s">
        <v>513</v>
      </c>
      <c r="D53" s="103" t="s">
        <v>193</v>
      </c>
      <c r="E53" s="104" t="s">
        <v>599</v>
      </c>
      <c r="F53" s="64" t="s">
        <v>429</v>
      </c>
      <c r="G53" s="105" t="s">
        <v>438</v>
      </c>
      <c r="H53" s="61" t="s">
        <v>429</v>
      </c>
      <c r="I53" s="93">
        <v>2023</v>
      </c>
    </row>
    <row r="54" spans="1:9" ht="28.5" customHeight="1" x14ac:dyDescent="0.3">
      <c r="A54" s="86">
        <v>67</v>
      </c>
      <c r="B54" s="74" t="s">
        <v>479</v>
      </c>
      <c r="C54" s="63" t="s">
        <v>518</v>
      </c>
      <c r="D54" s="100" t="s">
        <v>194</v>
      </c>
      <c r="E54" s="101" t="s">
        <v>594</v>
      </c>
      <c r="F54" s="63" t="s">
        <v>429</v>
      </c>
      <c r="G54" s="102" t="s">
        <v>438</v>
      </c>
      <c r="H54" s="62" t="s">
        <v>429</v>
      </c>
      <c r="I54" s="89">
        <v>2023</v>
      </c>
    </row>
    <row r="55" spans="1:9" ht="28.5" customHeight="1" x14ac:dyDescent="0.3">
      <c r="A55" s="80">
        <v>68</v>
      </c>
      <c r="B55" s="81" t="s">
        <v>479</v>
      </c>
      <c r="C55" s="64" t="s">
        <v>518</v>
      </c>
      <c r="D55" s="103" t="s">
        <v>195</v>
      </c>
      <c r="E55" s="104" t="s">
        <v>598</v>
      </c>
      <c r="F55" s="64" t="s">
        <v>429</v>
      </c>
      <c r="G55" s="105" t="s">
        <v>438</v>
      </c>
      <c r="H55" s="59" t="s">
        <v>429</v>
      </c>
      <c r="I55" s="93">
        <v>2023</v>
      </c>
    </row>
    <row r="56" spans="1:9" ht="28.5" customHeight="1" x14ac:dyDescent="0.3">
      <c r="A56" s="86">
        <v>69</v>
      </c>
      <c r="B56" s="74" t="s">
        <v>479</v>
      </c>
      <c r="C56" s="66" t="s">
        <v>518</v>
      </c>
      <c r="D56" s="100" t="s">
        <v>196</v>
      </c>
      <c r="E56" s="115" t="s">
        <v>595</v>
      </c>
      <c r="F56" s="66" t="s">
        <v>429</v>
      </c>
      <c r="G56" s="102" t="s">
        <v>438</v>
      </c>
      <c r="H56" s="60" t="s">
        <v>429</v>
      </c>
      <c r="I56" s="89">
        <v>2023</v>
      </c>
    </row>
    <row r="57" spans="1:9" ht="28.5" customHeight="1" x14ac:dyDescent="0.3">
      <c r="A57" s="80">
        <v>70</v>
      </c>
      <c r="B57" s="81" t="s">
        <v>479</v>
      </c>
      <c r="C57" s="64" t="s">
        <v>518</v>
      </c>
      <c r="D57" s="103" t="s">
        <v>218</v>
      </c>
      <c r="E57" s="104" t="s">
        <v>597</v>
      </c>
      <c r="F57" s="65" t="s">
        <v>429</v>
      </c>
      <c r="G57" s="105" t="s">
        <v>438</v>
      </c>
      <c r="H57" s="59" t="s">
        <v>429</v>
      </c>
      <c r="I57" s="93">
        <v>2023</v>
      </c>
    </row>
    <row r="58" spans="1:9" ht="28.5" customHeight="1" x14ac:dyDescent="0.3">
      <c r="A58" s="86">
        <v>53</v>
      </c>
      <c r="B58" s="74" t="s">
        <v>479</v>
      </c>
      <c r="C58" s="63" t="s">
        <v>519</v>
      </c>
      <c r="D58" s="100" t="s">
        <v>187</v>
      </c>
      <c r="E58" s="101" t="s">
        <v>584</v>
      </c>
      <c r="F58" s="66" t="s">
        <v>429</v>
      </c>
      <c r="G58" s="102" t="s">
        <v>438</v>
      </c>
      <c r="H58" s="107" t="s">
        <v>429</v>
      </c>
      <c r="I58" s="89">
        <v>2023</v>
      </c>
    </row>
    <row r="59" spans="1:9" ht="28.5" customHeight="1" x14ac:dyDescent="0.3">
      <c r="A59" s="80">
        <v>54</v>
      </c>
      <c r="B59" s="81" t="s">
        <v>479</v>
      </c>
      <c r="C59" s="64" t="s">
        <v>519</v>
      </c>
      <c r="D59" s="103" t="s">
        <v>25</v>
      </c>
      <c r="E59" s="104" t="s">
        <v>589</v>
      </c>
      <c r="F59" s="65" t="s">
        <v>429</v>
      </c>
      <c r="G59" s="105" t="s">
        <v>438</v>
      </c>
      <c r="H59" s="59" t="s">
        <v>429</v>
      </c>
      <c r="I59" s="93">
        <v>2023</v>
      </c>
    </row>
    <row r="60" spans="1:9" ht="28.5" customHeight="1" x14ac:dyDescent="0.3">
      <c r="A60" s="86">
        <v>55</v>
      </c>
      <c r="B60" s="74" t="s">
        <v>479</v>
      </c>
      <c r="C60" s="63" t="s">
        <v>519</v>
      </c>
      <c r="D60" s="100" t="s">
        <v>188</v>
      </c>
      <c r="E60" s="101" t="s">
        <v>596</v>
      </c>
      <c r="F60" s="66" t="s">
        <v>429</v>
      </c>
      <c r="G60" s="102" t="s">
        <v>438</v>
      </c>
      <c r="H60" s="60" t="s">
        <v>429</v>
      </c>
      <c r="I60" s="89">
        <v>2023</v>
      </c>
    </row>
    <row r="61" spans="1:9" ht="28.5" customHeight="1" x14ac:dyDescent="0.3">
      <c r="A61" s="80">
        <v>56</v>
      </c>
      <c r="B61" s="81" t="s">
        <v>479</v>
      </c>
      <c r="C61" s="64" t="s">
        <v>519</v>
      </c>
      <c r="D61" s="103" t="s">
        <v>189</v>
      </c>
      <c r="E61" s="104" t="s">
        <v>596</v>
      </c>
      <c r="F61" s="64" t="s">
        <v>429</v>
      </c>
      <c r="G61" s="105" t="s">
        <v>438</v>
      </c>
      <c r="H61" s="59" t="s">
        <v>429</v>
      </c>
      <c r="I61" s="93">
        <v>2023</v>
      </c>
    </row>
    <row r="62" spans="1:9" ht="28.5" customHeight="1" x14ac:dyDescent="0.3">
      <c r="A62" s="119" t="s">
        <v>520</v>
      </c>
      <c r="B62" s="120"/>
      <c r="C62" s="120"/>
      <c r="D62" s="121" t="s">
        <v>536</v>
      </c>
      <c r="E62" s="120" t="s">
        <v>537</v>
      </c>
      <c r="F62" s="76" t="s">
        <v>538</v>
      </c>
      <c r="G62" s="122" t="s">
        <v>539</v>
      </c>
      <c r="H62" s="76" t="s">
        <v>564</v>
      </c>
      <c r="I62" s="89">
        <v>2023</v>
      </c>
    </row>
    <row r="63" spans="1:9" ht="28.5" customHeight="1" x14ac:dyDescent="0.3">
      <c r="A63" s="123" t="s">
        <v>521</v>
      </c>
      <c r="B63" s="91"/>
      <c r="C63" s="91"/>
      <c r="D63" s="124" t="s">
        <v>540</v>
      </c>
      <c r="E63" s="91" t="s">
        <v>541</v>
      </c>
      <c r="F63" s="91" t="s">
        <v>538</v>
      </c>
      <c r="G63" s="93" t="s">
        <v>539</v>
      </c>
      <c r="H63" s="91" t="s">
        <v>564</v>
      </c>
      <c r="I63" s="93">
        <v>2023</v>
      </c>
    </row>
    <row r="64" spans="1:9" ht="28.5" customHeight="1" x14ac:dyDescent="0.3">
      <c r="A64" s="119" t="s">
        <v>522</v>
      </c>
      <c r="B64" s="76"/>
      <c r="C64" s="76"/>
      <c r="D64" s="121" t="s">
        <v>542</v>
      </c>
      <c r="E64" s="76" t="s">
        <v>537</v>
      </c>
      <c r="F64" s="76" t="s">
        <v>538</v>
      </c>
      <c r="G64" s="89" t="s">
        <v>539</v>
      </c>
      <c r="H64" s="76" t="s">
        <v>564</v>
      </c>
      <c r="I64" s="89">
        <v>2023</v>
      </c>
    </row>
    <row r="65" spans="1:9" ht="28.5" customHeight="1" x14ac:dyDescent="0.3">
      <c r="A65" s="125" t="s">
        <v>523</v>
      </c>
      <c r="B65" s="91"/>
      <c r="C65" s="91"/>
      <c r="D65" s="124" t="s">
        <v>543</v>
      </c>
      <c r="E65" s="91" t="s">
        <v>541</v>
      </c>
      <c r="F65" s="91" t="s">
        <v>538</v>
      </c>
      <c r="G65" s="126" t="s">
        <v>539</v>
      </c>
      <c r="H65" s="91" t="s">
        <v>564</v>
      </c>
      <c r="I65" s="93">
        <v>2023</v>
      </c>
    </row>
    <row r="66" spans="1:9" ht="28.5" customHeight="1" x14ac:dyDescent="0.3">
      <c r="A66" s="119" t="s">
        <v>524</v>
      </c>
      <c r="B66" s="76"/>
      <c r="C66" s="76"/>
      <c r="D66" s="121" t="s">
        <v>544</v>
      </c>
      <c r="E66" s="76" t="s">
        <v>537</v>
      </c>
      <c r="F66" s="76" t="s">
        <v>538</v>
      </c>
      <c r="G66" s="89" t="s">
        <v>539</v>
      </c>
      <c r="H66" s="76" t="s">
        <v>564</v>
      </c>
      <c r="I66" s="89">
        <v>2023</v>
      </c>
    </row>
    <row r="67" spans="1:9" ht="28.5" customHeight="1" x14ac:dyDescent="0.3">
      <c r="A67" s="125" t="s">
        <v>525</v>
      </c>
      <c r="B67" s="91"/>
      <c r="C67" s="91"/>
      <c r="D67" s="124" t="s">
        <v>545</v>
      </c>
      <c r="E67" s="91" t="s">
        <v>541</v>
      </c>
      <c r="F67" s="91" t="s">
        <v>538</v>
      </c>
      <c r="G67" s="93" t="s">
        <v>539</v>
      </c>
      <c r="H67" s="91" t="s">
        <v>564</v>
      </c>
      <c r="I67" s="93">
        <v>2023</v>
      </c>
    </row>
    <row r="68" spans="1:9" ht="28.5" customHeight="1" x14ac:dyDescent="0.3">
      <c r="A68" s="119" t="s">
        <v>526</v>
      </c>
      <c r="B68" s="76"/>
      <c r="C68" s="76"/>
      <c r="D68" s="121" t="s">
        <v>546</v>
      </c>
      <c r="E68" s="76" t="s">
        <v>537</v>
      </c>
      <c r="F68" s="76" t="s">
        <v>538</v>
      </c>
      <c r="G68" s="89" t="s">
        <v>539</v>
      </c>
      <c r="H68" s="76" t="s">
        <v>564</v>
      </c>
      <c r="I68" s="89">
        <v>2023</v>
      </c>
    </row>
    <row r="69" spans="1:9" ht="28.5" customHeight="1" x14ac:dyDescent="0.3">
      <c r="A69" s="123" t="s">
        <v>527</v>
      </c>
      <c r="B69" s="91"/>
      <c r="C69" s="91"/>
      <c r="D69" s="124" t="s">
        <v>547</v>
      </c>
      <c r="E69" s="91" t="s">
        <v>541</v>
      </c>
      <c r="F69" s="91" t="s">
        <v>538</v>
      </c>
      <c r="G69" s="93" t="s">
        <v>539</v>
      </c>
      <c r="H69" s="91" t="s">
        <v>564</v>
      </c>
      <c r="I69" s="93">
        <v>2023</v>
      </c>
    </row>
    <row r="70" spans="1:9" ht="28.5" customHeight="1" x14ac:dyDescent="0.3">
      <c r="A70" s="119" t="s">
        <v>528</v>
      </c>
      <c r="B70" s="121"/>
      <c r="C70" s="121"/>
      <c r="D70" s="121" t="s">
        <v>548</v>
      </c>
      <c r="E70" s="76" t="s">
        <v>549</v>
      </c>
      <c r="F70" s="76" t="s">
        <v>538</v>
      </c>
      <c r="G70" s="127" t="s">
        <v>550</v>
      </c>
      <c r="H70" s="76" t="s">
        <v>564</v>
      </c>
      <c r="I70" s="89">
        <v>2022</v>
      </c>
    </row>
    <row r="71" spans="1:9" ht="28.5" customHeight="1" x14ac:dyDescent="0.3">
      <c r="A71" s="123" t="s">
        <v>529</v>
      </c>
      <c r="B71" s="124"/>
      <c r="C71" s="124"/>
      <c r="D71" s="124" t="s">
        <v>551</v>
      </c>
      <c r="E71" s="91" t="s">
        <v>552</v>
      </c>
      <c r="F71" s="91" t="s">
        <v>538</v>
      </c>
      <c r="G71" s="128" t="s">
        <v>553</v>
      </c>
      <c r="H71" s="91" t="s">
        <v>564</v>
      </c>
      <c r="I71" s="93">
        <v>2022</v>
      </c>
    </row>
    <row r="72" spans="1:9" ht="28.5" customHeight="1" x14ac:dyDescent="0.3">
      <c r="A72" s="119" t="s">
        <v>530</v>
      </c>
      <c r="B72" s="121"/>
      <c r="C72" s="121"/>
      <c r="D72" s="121" t="s">
        <v>554</v>
      </c>
      <c r="E72" s="76" t="s">
        <v>555</v>
      </c>
      <c r="F72" s="76" t="s">
        <v>538</v>
      </c>
      <c r="G72" s="88" t="s">
        <v>556</v>
      </c>
      <c r="H72" s="76" t="s">
        <v>564</v>
      </c>
      <c r="I72" s="89">
        <v>2022</v>
      </c>
    </row>
    <row r="73" spans="1:9" ht="28.5" customHeight="1" x14ac:dyDescent="0.3">
      <c r="A73" s="123" t="s">
        <v>531</v>
      </c>
      <c r="B73" s="124"/>
      <c r="C73" s="124"/>
      <c r="D73" s="124" t="s">
        <v>557</v>
      </c>
      <c r="E73" s="91" t="s">
        <v>558</v>
      </c>
      <c r="F73" s="91" t="s">
        <v>538</v>
      </c>
      <c r="G73" s="129" t="s">
        <v>559</v>
      </c>
      <c r="H73" s="91" t="s">
        <v>564</v>
      </c>
      <c r="I73" s="93">
        <v>2022</v>
      </c>
    </row>
    <row r="74" spans="1:9" ht="28.5" customHeight="1" x14ac:dyDescent="0.3">
      <c r="A74" s="119" t="s">
        <v>532</v>
      </c>
      <c r="B74" s="76"/>
      <c r="C74" s="76"/>
      <c r="D74" s="121" t="s">
        <v>560</v>
      </c>
      <c r="E74" s="76" t="s">
        <v>537</v>
      </c>
      <c r="F74" s="76" t="s">
        <v>538</v>
      </c>
      <c r="G74" s="89" t="s">
        <v>539</v>
      </c>
      <c r="H74" s="76" t="s">
        <v>564</v>
      </c>
      <c r="I74" s="89">
        <v>2023</v>
      </c>
    </row>
    <row r="75" spans="1:9" ht="28.5" customHeight="1" x14ac:dyDescent="0.3">
      <c r="A75" s="123" t="s">
        <v>533</v>
      </c>
      <c r="B75" s="91"/>
      <c r="C75" s="91"/>
      <c r="D75" s="124" t="s">
        <v>561</v>
      </c>
      <c r="E75" s="91" t="s">
        <v>541</v>
      </c>
      <c r="F75" s="91" t="s">
        <v>538</v>
      </c>
      <c r="G75" s="93" t="s">
        <v>539</v>
      </c>
      <c r="H75" s="91" t="s">
        <v>564</v>
      </c>
      <c r="I75" s="93">
        <v>2023</v>
      </c>
    </row>
    <row r="76" spans="1:9" ht="28.5" customHeight="1" x14ac:dyDescent="0.3">
      <c r="A76" s="119" t="s">
        <v>534</v>
      </c>
      <c r="B76" s="120"/>
      <c r="C76" s="120"/>
      <c r="D76" s="121" t="s">
        <v>562</v>
      </c>
      <c r="E76" s="120" t="s">
        <v>537</v>
      </c>
      <c r="F76" s="120" t="s">
        <v>538</v>
      </c>
      <c r="G76" s="89" t="s">
        <v>539</v>
      </c>
      <c r="H76" s="76" t="s">
        <v>564</v>
      </c>
      <c r="I76" s="89">
        <v>2023</v>
      </c>
    </row>
    <row r="77" spans="1:9" ht="28.5" customHeight="1" x14ac:dyDescent="0.3">
      <c r="A77" s="125" t="s">
        <v>535</v>
      </c>
      <c r="B77" s="91"/>
      <c r="C77" s="91"/>
      <c r="D77" s="124" t="s">
        <v>563</v>
      </c>
      <c r="E77" s="91" t="s">
        <v>541</v>
      </c>
      <c r="F77" s="130" t="s">
        <v>538</v>
      </c>
      <c r="G77" s="93" t="s">
        <v>539</v>
      </c>
      <c r="H77" s="91" t="s">
        <v>564</v>
      </c>
      <c r="I77" s="93">
        <v>2023</v>
      </c>
    </row>
    <row r="78" spans="1:9" ht="28.5" customHeight="1" x14ac:dyDescent="0.3">
      <c r="A78" s="119" t="s">
        <v>565</v>
      </c>
      <c r="B78" s="76"/>
      <c r="C78" s="76"/>
      <c r="D78" s="121" t="s">
        <v>573</v>
      </c>
      <c r="E78" s="76" t="s">
        <v>537</v>
      </c>
      <c r="F78" s="120" t="s">
        <v>538</v>
      </c>
      <c r="G78" s="89" t="s">
        <v>539</v>
      </c>
      <c r="H78" s="76" t="s">
        <v>564</v>
      </c>
      <c r="I78" s="89">
        <v>2023</v>
      </c>
    </row>
    <row r="79" spans="1:9" ht="28.5" customHeight="1" x14ac:dyDescent="0.3">
      <c r="A79" s="125" t="s">
        <v>566</v>
      </c>
      <c r="B79" s="91"/>
      <c r="C79" s="91"/>
      <c r="D79" s="124" t="s">
        <v>574</v>
      </c>
      <c r="E79" s="91" t="s">
        <v>541</v>
      </c>
      <c r="F79" s="130" t="s">
        <v>538</v>
      </c>
      <c r="G79" s="93" t="s">
        <v>539</v>
      </c>
      <c r="H79" s="91" t="s">
        <v>564</v>
      </c>
      <c r="I79" s="93">
        <v>2023</v>
      </c>
    </row>
    <row r="80" spans="1:9" ht="28.5" customHeight="1" x14ac:dyDescent="0.3">
      <c r="A80" s="119" t="s">
        <v>567</v>
      </c>
      <c r="B80" s="76"/>
      <c r="C80" s="76"/>
      <c r="D80" s="121" t="s">
        <v>575</v>
      </c>
      <c r="E80" s="76" t="s">
        <v>537</v>
      </c>
      <c r="F80" s="120" t="s">
        <v>538</v>
      </c>
      <c r="G80" s="89" t="s">
        <v>539</v>
      </c>
      <c r="H80" s="76" t="s">
        <v>564</v>
      </c>
      <c r="I80" s="89">
        <v>2023</v>
      </c>
    </row>
    <row r="81" spans="1:9" ht="28.5" customHeight="1" x14ac:dyDescent="0.3">
      <c r="A81" s="123" t="s">
        <v>568</v>
      </c>
      <c r="B81" s="91"/>
      <c r="C81" s="91"/>
      <c r="D81" s="124" t="s">
        <v>576</v>
      </c>
      <c r="E81" s="91" t="s">
        <v>541</v>
      </c>
      <c r="F81" s="130" t="s">
        <v>538</v>
      </c>
      <c r="G81" s="93" t="s">
        <v>539</v>
      </c>
      <c r="H81" s="91" t="s">
        <v>564</v>
      </c>
      <c r="I81" s="93">
        <v>2023</v>
      </c>
    </row>
    <row r="82" spans="1:9" ht="28.5" customHeight="1" x14ac:dyDescent="0.3">
      <c r="A82" s="119" t="s">
        <v>569</v>
      </c>
      <c r="B82" s="76"/>
      <c r="C82" s="76"/>
      <c r="D82" s="121" t="s">
        <v>577</v>
      </c>
      <c r="E82" s="76" t="s">
        <v>537</v>
      </c>
      <c r="F82" s="120" t="s">
        <v>538</v>
      </c>
      <c r="G82" s="89" t="s">
        <v>539</v>
      </c>
      <c r="H82" s="76" t="s">
        <v>564</v>
      </c>
      <c r="I82" s="89">
        <v>2023</v>
      </c>
    </row>
    <row r="83" spans="1:9" ht="28.5" customHeight="1" x14ac:dyDescent="0.3">
      <c r="A83" s="123" t="s">
        <v>570</v>
      </c>
      <c r="B83" s="91"/>
      <c r="C83" s="91"/>
      <c r="D83" s="124" t="s">
        <v>578</v>
      </c>
      <c r="E83" s="91" t="s">
        <v>541</v>
      </c>
      <c r="F83" s="130" t="s">
        <v>538</v>
      </c>
      <c r="G83" s="93" t="s">
        <v>539</v>
      </c>
      <c r="H83" s="91" t="s">
        <v>564</v>
      </c>
      <c r="I83" s="93">
        <v>2023</v>
      </c>
    </row>
    <row r="84" spans="1:9" ht="28.5" customHeight="1" x14ac:dyDescent="0.3">
      <c r="A84" s="119" t="s">
        <v>571</v>
      </c>
      <c r="B84" s="76"/>
      <c r="C84" s="76"/>
      <c r="D84" s="121" t="s">
        <v>579</v>
      </c>
      <c r="E84" s="76" t="s">
        <v>537</v>
      </c>
      <c r="F84" s="120" t="s">
        <v>538</v>
      </c>
      <c r="G84" s="89" t="s">
        <v>539</v>
      </c>
      <c r="H84" s="76" t="s">
        <v>564</v>
      </c>
      <c r="I84" s="89">
        <v>2023</v>
      </c>
    </row>
    <row r="85" spans="1:9" ht="28.5" customHeight="1" x14ac:dyDescent="0.3">
      <c r="A85" s="131" t="s">
        <v>572</v>
      </c>
      <c r="B85" s="132"/>
      <c r="C85" s="132"/>
      <c r="D85" s="133" t="s">
        <v>580</v>
      </c>
      <c r="E85" s="132" t="s">
        <v>541</v>
      </c>
      <c r="F85" s="132" t="s">
        <v>538</v>
      </c>
      <c r="G85" s="134" t="s">
        <v>539</v>
      </c>
      <c r="H85" s="132" t="s">
        <v>564</v>
      </c>
      <c r="I85" s="134">
        <v>2023</v>
      </c>
    </row>
  </sheetData>
  <hyperlinks>
    <hyperlink ref="G2" r:id="rId1" xr:uid="{059E135B-EDDF-4AE5-A16C-6B7A9DFBD7DA}"/>
    <hyperlink ref="G5" r:id="rId2" xr:uid="{A7F58262-C984-41AE-BB96-164A59745696}"/>
    <hyperlink ref="G3" r:id="rId3" xr:uid="{E2D12333-3DEA-414A-8A76-5B0A3512477E}"/>
    <hyperlink ref="G4" r:id="rId4" xr:uid="{170D273C-8AF1-4CF7-8E62-0B09F5ECE043}"/>
    <hyperlink ref="G7" r:id="rId5" xr:uid="{BF0BE288-0924-47D0-8492-5112E17A5DE9}"/>
    <hyperlink ref="G8" r:id="rId6" xr:uid="{5DD75E13-50AF-48B2-A309-242E1DD1B932}"/>
    <hyperlink ref="G9" r:id="rId7" xr:uid="{3FE5F88F-45C1-43C4-B3FC-7B23C0A16501}"/>
    <hyperlink ref="G6" r:id="rId8" xr:uid="{388172E5-97A7-461C-B891-CE15A79E9A7B}"/>
    <hyperlink ref="G10" r:id="rId9" xr:uid="{B200615E-7C8F-427D-8A3B-5ED207C4029D}"/>
    <hyperlink ref="G11" r:id="rId10" xr:uid="{38E7BF86-FF5D-4144-A0E9-655175016470}"/>
    <hyperlink ref="G15" r:id="rId11" xr:uid="{147C62A5-44B8-475C-B8B7-79EA88AA85AD}"/>
    <hyperlink ref="G16" r:id="rId12" xr:uid="{7EDD24D8-0887-4693-8CE4-189593964C3B}"/>
    <hyperlink ref="G17" r:id="rId13" xr:uid="{71CCB132-0A03-4D6F-8AAC-190CF37DC98C}"/>
    <hyperlink ref="G18" r:id="rId14" xr:uid="{A6E92711-71A5-4907-BA16-8D5EC81E3922}"/>
    <hyperlink ref="G19" r:id="rId15" xr:uid="{E2A61413-22D8-410A-A172-8BF8687CDBDC}"/>
    <hyperlink ref="G20" r:id="rId16" xr:uid="{01033FDD-6622-43E4-81F4-564BF63B47F8}"/>
    <hyperlink ref="G21" r:id="rId17" display="https://ec.europa.eu/eurostat/databrowser/view/ISOC_EB_AI__custom_5809306/default/table?lang=en" xr:uid="{88EDFCF0-2507-4D97-951B-74263A2B355F}"/>
    <hyperlink ref="G22" r:id="rId18" xr:uid="{4AAFABBC-64A3-4E0D-A099-FCCC28A04A85}"/>
    <hyperlink ref="G23" r:id="rId19" display="https://ec.europa.eu/eurostat/databrowser/view/ISOC_CISCE_IC/default/table" xr:uid="{DAB081F9-682B-48E5-AC32-99E9A2D890DB}"/>
    <hyperlink ref="G26" r:id="rId20" display="https://ec.europa.eu/eurostat/databrowser/view/ISOC_CISCE_IC/default/table" xr:uid="{A8847CD3-0E11-49F5-B52E-28C8A5F9D5D9}"/>
    <hyperlink ref="G24" r:id="rId21" display="https://ec.europa.eu/eurostat/databrowser/view/ISOC_CISCE_IC/default/table" xr:uid="{F0EAAC5C-F2BB-4214-B426-015306F25E6D}"/>
    <hyperlink ref="G27" r:id="rId22" display="https://ec.europa.eu/eurostat/databrowser/view/ISOC_CISCE_IC/default/table" xr:uid="{9F9BAFF4-8F31-4BC9-9ED7-AF5CD64A68F0}"/>
    <hyperlink ref="G25" r:id="rId23" display="https://ec.europa.eu/eurostat/databrowser/view/ISOC_CISCE_IC/default/table" xr:uid="{7A022641-D557-49AF-BCFF-C3CD6AD0BEAA}"/>
    <hyperlink ref="G28" r:id="rId24" display="https://ec.europa.eu/eurostat/databrowser/view/ISOC_CISCE_IC/default/table" xr:uid="{B85257A7-E637-4C55-A205-5A45F6331820}"/>
    <hyperlink ref="G38" r:id="rId25" xr:uid="{E052AE1F-A389-4AD5-9076-ED27A4432068}"/>
    <hyperlink ref="E33" location="Compromised!A1" display="Compromised!A1" xr:uid="{26C908CB-D2FB-47E0-8231-4C0CF5970453}"/>
    <hyperlink ref="E34" location="'Modern standards'!A1" display="'Modern standards'!A1" xr:uid="{D7DE7CAA-89BC-4BEE-89BF-A515F4DA5C44}"/>
    <hyperlink ref="G42" r:id="rId26" display="https://ciras.enisa.europa.eu/" xr:uid="{F596155B-E418-4C59-84DD-C45F0DC67474}"/>
    <hyperlink ref="G43" r:id="rId27" display="https://ciras.enisa.europa.eu/" xr:uid="{4D4C0390-8CD3-4923-B93A-7009CE139946}"/>
    <hyperlink ref="G44" r:id="rId28" display="https://ciras.enisa.europa.eu/" xr:uid="{2B56474E-781E-4FF0-AF24-32EB18B02D99}"/>
    <hyperlink ref="G45" r:id="rId29" display="https://ciras.enisa.europa.eu/" xr:uid="{B0096F56-010A-4AFC-B0E5-8689C27688CB}"/>
    <hyperlink ref="G46" r:id="rId30" display="https://ciras.enisa.europa.eu/" xr:uid="{B1F67D22-F41E-4A7D-B249-D67BC5076DF4}"/>
    <hyperlink ref="G53" r:id="rId31" display="https://ciras.enisa.europa.eu/" xr:uid="{B0C9C981-EF03-4CC3-86E0-58A4474AF6D8}"/>
    <hyperlink ref="G54" r:id="rId32" display="https://ciras.enisa.europa.eu/" xr:uid="{C59E2289-982F-405C-A3E5-578974B3301A}"/>
    <hyperlink ref="G55" r:id="rId33" display="https://ciras.enisa.europa.eu/" xr:uid="{CE75CD51-F788-40EB-B8AA-C9963934061B}"/>
    <hyperlink ref="G56" r:id="rId34" display="https://ciras.enisa.europa.eu/" xr:uid="{68354253-8E8C-4609-A0F4-BDCE01747B5B}"/>
    <hyperlink ref="G72" r:id="rId35" xr:uid="{BE9C4FD5-5532-4576-852E-C47025192F21}"/>
    <hyperlink ref="G73" r:id="rId36" xr:uid="{02197AAB-206F-4D67-8DD6-9AD01F012883}"/>
    <hyperlink ref="G70" r:id="rId37" xr:uid="{F33DDDF3-C9C9-4C1D-9DFB-D6625E63146D}"/>
    <hyperlink ref="G71" r:id="rId38" xr:uid="{ED01F9BD-6D98-4EF6-99B3-18D1DC3A368E}"/>
    <hyperlink ref="D13" location="'10'!A1" display="National level cybersecurity trainings" xr:uid="{8AC34053-AAA4-4FBF-9522-59A743135CBA}"/>
    <hyperlink ref="D12" location="'39'!A1" display="Cybersecurity exercises at national and international level" xr:uid="{6BDE4985-1C46-4F9C-921F-6CF5DDB30955}"/>
    <hyperlink ref="D14" location="'12'!A1" display="Tools and training to fight cybercrime" xr:uid="{A3166629-BB79-4D8B-A446-5F1E11CF4B8D}"/>
    <hyperlink ref="D29" location="'40'!A1" display="Dedicated cybercrime establishment within law enforcement and prosecution offices" xr:uid="{E1D3727B-B670-4841-97CC-1ED607438C24}"/>
    <hyperlink ref="D30" location="'43'!A1" display="Incident reporting implementation" xr:uid="{F561D331-3DE1-4081-A44D-CD6D3438BD2F}"/>
    <hyperlink ref="D31" location="'46'!A1" display="Threat monitoring at national level" xr:uid="{EC48B59F-106D-42D5-90BF-EF2C49AA6EBA}"/>
    <hyperlink ref="D37" location="'44'!A1" display="Participation by essential and important entities in a national or EU-level ISAC " xr:uid="{FC8A6207-8066-477B-96CB-B21825F6914A}"/>
    <hyperlink ref="D39" location="'38'!A1" display="Cooperation at a national level" xr:uid="{B9F24B9F-8DB2-4D8B-A4EC-B1B51BF985A9}"/>
    <hyperlink ref="D40" location="'41'!A1" display="Establishment of a national reporting scheme for major cyber incidents" xr:uid="{AEC9E7BE-3DA5-469C-80CA-21521C759A04}"/>
    <hyperlink ref="D41" location="'42'!A1" display="Establishment of operational cooperation mechanisms against cybercrime" xr:uid="{D191A15E-3BE5-464E-BB9C-E9DEBA8863FD}"/>
    <hyperlink ref="D47" location="'63'!A1" display="Coverage and implementation of objectives in national cybersecurity strategy" xr:uid="{5ADCF137-A044-4C77-933D-4C9221C80943}"/>
    <hyperlink ref="D48" location="'58'!A1" display="Coverage of essential sectors by national  legislation" xr:uid="{A819A870-5177-42E9-AB15-A8FE6590BB48}"/>
    <hyperlink ref="D49" location="'59'!A1" display="Coverage of vulnerability disclosure policies" xr:uid="{21F63010-E270-4F4F-9F8B-EBA9CBCB234A}"/>
    <hyperlink ref="D50" location="'60'!A1" display="Implementation of cybersecurity EU legislation" xr:uid="{B64FF869-82CC-4260-8061-386CCCB41EE1}"/>
    <hyperlink ref="D52" location="'65'!A1" display="Establishment of international cooperation mechanisms" xr:uid="{C7854F52-DE4F-4002-9631-FEAF2175E1C6}"/>
    <hyperlink ref="D53" location="'66'!A1" display="International cooperation on cybersecurity" xr:uid="{53DB1305-4782-4EAF-9623-9D6FF88A85D2}"/>
    <hyperlink ref="D54" location="'67'!A1" display="Baseline cyber security risk management measures for essential/important entities" xr:uid="{40F7FFF6-228C-4746-B16D-54403A8F5DCE}"/>
    <hyperlink ref="D55" location="'68'!A1" display="Definition and compliance of cybersecurity baseline(s) for essential and important entities" xr:uid="{3260C718-6292-4C2E-B214-77776961F24C}"/>
    <hyperlink ref="D56" location="'69'!A1" display="Identification of essential and important entities" xr:uid="{929DAD98-FE63-4650-9D0B-FCB62B87FFF0}"/>
    <hyperlink ref="D57" location="'70'!A1" display="Implementation of supervisory measures for essential and important entities" xr:uid="{10CB966A-2DA7-491A-B14F-BA353C90E8AF}"/>
    <hyperlink ref="D58" location="'53'!A1" display="Cybersecurity in higher education" xr:uid="{CAF8D0D7-6C04-47BD-9D35-67B4A28E46EC}"/>
    <hyperlink ref="D59" location="'54'!A1" display="Cybersecurity in national education curricula" xr:uid="{1CF1E9B5-18D4-436F-8CFB-BC6D57CA05FC}"/>
    <hyperlink ref="D60" location="'55'!A1" display="Cybersecurity in R&amp;D priorities and initiatives" xr:uid="{8FA2D3AA-04F6-4FC6-AF3A-CEC635150F07}"/>
    <hyperlink ref="D61" location="'56'!A1" display="National and international cooperation for cybersecurity R&amp;D" xr:uid="{5FE84770-3DFC-4045-B97F-76724303F1F8}"/>
  </hyperlinks>
  <pageMargins left="0.7" right="0.7" top="0.75" bottom="0.75" header="0.3" footer="0.3"/>
  <pageSetup orientation="portrait" r:id="rId39"/>
  <tableParts count="1">
    <tablePart r:id="rId4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C632D-357A-48BB-A33C-F80764B4D3A1}">
  <sheetPr codeName="Sheet2"/>
  <dimension ref="A1:G85"/>
  <sheetViews>
    <sheetView zoomScale="85" zoomScaleNormal="85" workbookViewId="0">
      <selection activeCell="F17" sqref="F17"/>
    </sheetView>
  </sheetViews>
  <sheetFormatPr defaultRowHeight="30" customHeight="1" x14ac:dyDescent="0.3"/>
  <cols>
    <col min="1" max="1" width="9.6640625" style="79" customWidth="1"/>
    <col min="2" max="2" width="18.21875" style="79" customWidth="1"/>
    <col min="3" max="3" width="19" style="79" customWidth="1"/>
    <col min="4" max="4" width="45.88671875" style="79" customWidth="1"/>
    <col min="5" max="5" width="41" style="79" bestFit="1" customWidth="1"/>
    <col min="6" max="6" width="55.44140625" style="79" customWidth="1"/>
    <col min="7" max="7" width="16" style="79" customWidth="1"/>
    <col min="8" max="16384" width="8.88671875" style="79"/>
  </cols>
  <sheetData>
    <row r="1" spans="1:7" ht="30" customHeight="1" x14ac:dyDescent="0.3">
      <c r="A1" s="70" t="s">
        <v>393</v>
      </c>
      <c r="B1" s="71" t="s">
        <v>608</v>
      </c>
      <c r="C1" s="72" t="s">
        <v>395</v>
      </c>
      <c r="D1" s="72" t="s">
        <v>609</v>
      </c>
      <c r="E1" s="72" t="s">
        <v>397</v>
      </c>
      <c r="F1" s="72" t="s">
        <v>398</v>
      </c>
      <c r="G1" s="72" t="s">
        <v>610</v>
      </c>
    </row>
    <row r="2" spans="1:7" ht="30" customHeight="1" x14ac:dyDescent="0.3">
      <c r="A2" s="136">
        <v>1</v>
      </c>
      <c r="B2" s="74" t="s">
        <v>396</v>
      </c>
      <c r="C2" s="74" t="s">
        <v>396</v>
      </c>
      <c r="D2" s="63" t="s">
        <v>402</v>
      </c>
      <c r="E2" s="63" t="s">
        <v>402</v>
      </c>
      <c r="F2" s="75" t="s">
        <v>403</v>
      </c>
      <c r="G2" s="137">
        <v>0.79090909090909089</v>
      </c>
    </row>
    <row r="3" spans="1:7" ht="30" customHeight="1" x14ac:dyDescent="0.3">
      <c r="A3" s="138">
        <v>2</v>
      </c>
      <c r="B3" s="81" t="s">
        <v>396</v>
      </c>
      <c r="C3" s="81" t="s">
        <v>396</v>
      </c>
      <c r="D3" s="64" t="s">
        <v>402</v>
      </c>
      <c r="E3" s="64" t="s">
        <v>402</v>
      </c>
      <c r="F3" s="82" t="s">
        <v>407</v>
      </c>
      <c r="G3" s="139">
        <v>0.74242424242424232</v>
      </c>
    </row>
    <row r="4" spans="1:7" ht="30" customHeight="1" x14ac:dyDescent="0.3">
      <c r="A4" s="140">
        <v>3</v>
      </c>
      <c r="B4" s="74" t="s">
        <v>396</v>
      </c>
      <c r="C4" s="74" t="s">
        <v>396</v>
      </c>
      <c r="D4" s="63" t="s">
        <v>402</v>
      </c>
      <c r="E4" s="63" t="s">
        <v>402</v>
      </c>
      <c r="F4" s="75" t="s">
        <v>410</v>
      </c>
      <c r="G4" s="76">
        <v>0.75</v>
      </c>
    </row>
    <row r="5" spans="1:7" ht="30" customHeight="1" x14ac:dyDescent="0.3">
      <c r="A5" s="141" t="s">
        <v>394</v>
      </c>
      <c r="B5" s="81" t="s">
        <v>396</v>
      </c>
      <c r="C5" s="81" t="s">
        <v>396</v>
      </c>
      <c r="D5" s="64" t="s">
        <v>402</v>
      </c>
      <c r="E5" s="64" t="s">
        <v>402</v>
      </c>
      <c r="F5" s="82" t="s">
        <v>414</v>
      </c>
      <c r="G5" s="91">
        <v>0.75</v>
      </c>
    </row>
    <row r="6" spans="1:7" ht="30" customHeight="1" x14ac:dyDescent="0.3">
      <c r="A6" s="140">
        <v>9</v>
      </c>
      <c r="B6" s="74" t="s">
        <v>396</v>
      </c>
      <c r="C6" s="74" t="s">
        <v>396</v>
      </c>
      <c r="D6" s="63" t="s">
        <v>600</v>
      </c>
      <c r="E6" s="63" t="s">
        <v>415</v>
      </c>
      <c r="F6" s="75" t="s">
        <v>416</v>
      </c>
      <c r="G6" s="76">
        <v>0.56111111111111112</v>
      </c>
    </row>
    <row r="7" spans="1:7" ht="30" customHeight="1" x14ac:dyDescent="0.3">
      <c r="A7" s="138">
        <v>4</v>
      </c>
      <c r="B7" s="81" t="s">
        <v>396</v>
      </c>
      <c r="C7" s="81" t="s">
        <v>396</v>
      </c>
      <c r="D7" s="64" t="s">
        <v>601</v>
      </c>
      <c r="E7" s="64" t="s">
        <v>415</v>
      </c>
      <c r="F7" s="82" t="s">
        <v>420</v>
      </c>
      <c r="G7" s="91">
        <v>0.62222222222222223</v>
      </c>
    </row>
    <row r="8" spans="1:7" ht="30" customHeight="1" x14ac:dyDescent="0.3">
      <c r="A8" s="140">
        <v>5</v>
      </c>
      <c r="B8" s="74" t="s">
        <v>396</v>
      </c>
      <c r="C8" s="74" t="s">
        <v>396</v>
      </c>
      <c r="D8" s="63" t="s">
        <v>601</v>
      </c>
      <c r="E8" s="63" t="s">
        <v>415</v>
      </c>
      <c r="F8" s="75" t="s">
        <v>422</v>
      </c>
      <c r="G8" s="76">
        <v>0.59444444444444444</v>
      </c>
    </row>
    <row r="9" spans="1:7" ht="30" customHeight="1" x14ac:dyDescent="0.3">
      <c r="A9" s="138">
        <v>6</v>
      </c>
      <c r="B9" s="81" t="s">
        <v>396</v>
      </c>
      <c r="C9" s="81" t="s">
        <v>396</v>
      </c>
      <c r="D9" s="64" t="s">
        <v>601</v>
      </c>
      <c r="E9" s="64" t="s">
        <v>415</v>
      </c>
      <c r="F9" s="82" t="s">
        <v>424</v>
      </c>
      <c r="G9" s="91">
        <v>0.60555555555555551</v>
      </c>
    </row>
    <row r="10" spans="1:7" ht="30" customHeight="1" x14ac:dyDescent="0.3">
      <c r="A10" s="142" t="s">
        <v>430</v>
      </c>
      <c r="B10" s="74" t="s">
        <v>396</v>
      </c>
      <c r="C10" s="74" t="s">
        <v>396</v>
      </c>
      <c r="D10" s="63" t="s">
        <v>601</v>
      </c>
      <c r="E10" s="63" t="s">
        <v>415</v>
      </c>
      <c r="F10" s="75" t="s">
        <v>431</v>
      </c>
      <c r="G10" s="76">
        <v>0.5</v>
      </c>
    </row>
    <row r="11" spans="1:7" ht="30" customHeight="1" x14ac:dyDescent="0.3">
      <c r="A11" s="138">
        <v>8</v>
      </c>
      <c r="B11" s="81" t="s">
        <v>396</v>
      </c>
      <c r="C11" s="81" t="s">
        <v>396</v>
      </c>
      <c r="D11" s="64" t="s">
        <v>600</v>
      </c>
      <c r="E11" s="64" t="s">
        <v>433</v>
      </c>
      <c r="F11" s="82" t="s">
        <v>434</v>
      </c>
      <c r="G11" s="91">
        <v>0.57222222222222219</v>
      </c>
    </row>
    <row r="12" spans="1:7" ht="30" customHeight="1" x14ac:dyDescent="0.3">
      <c r="A12" s="140">
        <v>39</v>
      </c>
      <c r="B12" s="74" t="s">
        <v>477</v>
      </c>
      <c r="C12" s="74" t="s">
        <v>396</v>
      </c>
      <c r="D12" s="63" t="s">
        <v>478</v>
      </c>
      <c r="E12" s="63" t="s">
        <v>433</v>
      </c>
      <c r="F12" s="75" t="s">
        <v>181</v>
      </c>
      <c r="G12" s="76">
        <v>0.97575757575757571</v>
      </c>
    </row>
    <row r="13" spans="1:7" ht="30" customHeight="1" x14ac:dyDescent="0.3">
      <c r="A13" s="138">
        <v>10</v>
      </c>
      <c r="B13" s="81" t="s">
        <v>396</v>
      </c>
      <c r="C13" s="81" t="s">
        <v>396</v>
      </c>
      <c r="D13" s="64" t="s">
        <v>600</v>
      </c>
      <c r="E13" s="64" t="s">
        <v>433</v>
      </c>
      <c r="F13" s="82" t="s">
        <v>180</v>
      </c>
      <c r="G13" s="91">
        <v>0.61111111111111116</v>
      </c>
    </row>
    <row r="14" spans="1:7" ht="30" customHeight="1" x14ac:dyDescent="0.3">
      <c r="A14" s="140">
        <v>12</v>
      </c>
      <c r="B14" s="74" t="s">
        <v>396</v>
      </c>
      <c r="C14" s="74" t="s">
        <v>396</v>
      </c>
      <c r="D14" s="63" t="s">
        <v>600</v>
      </c>
      <c r="E14" s="63" t="s">
        <v>433</v>
      </c>
      <c r="F14" s="75" t="s">
        <v>28</v>
      </c>
      <c r="G14" s="76">
        <v>0.63030303030303025</v>
      </c>
    </row>
    <row r="15" spans="1:7" ht="30" customHeight="1" x14ac:dyDescent="0.3">
      <c r="A15" s="138">
        <v>19</v>
      </c>
      <c r="B15" s="81" t="s">
        <v>439</v>
      </c>
      <c r="C15" s="81" t="s">
        <v>439</v>
      </c>
      <c r="D15" s="64" t="s">
        <v>440</v>
      </c>
      <c r="E15" s="64" t="s">
        <v>440</v>
      </c>
      <c r="F15" s="82" t="s">
        <v>441</v>
      </c>
      <c r="G15" s="91">
        <v>0.76060606060606062</v>
      </c>
    </row>
    <row r="16" spans="1:7" ht="30" customHeight="1" x14ac:dyDescent="0.3">
      <c r="A16" s="140">
        <v>32</v>
      </c>
      <c r="B16" s="74" t="s">
        <v>439</v>
      </c>
      <c r="C16" s="74" t="s">
        <v>439</v>
      </c>
      <c r="D16" s="63" t="s">
        <v>602</v>
      </c>
      <c r="E16" s="63" t="s">
        <v>440</v>
      </c>
      <c r="F16" s="75" t="s">
        <v>443</v>
      </c>
      <c r="G16" s="76">
        <v>0.7055555555555556</v>
      </c>
    </row>
    <row r="17" spans="1:7" ht="30" customHeight="1" x14ac:dyDescent="0.3">
      <c r="A17" s="138">
        <v>18</v>
      </c>
      <c r="B17" s="81" t="s">
        <v>439</v>
      </c>
      <c r="C17" s="81" t="s">
        <v>439</v>
      </c>
      <c r="D17" s="64" t="s">
        <v>440</v>
      </c>
      <c r="E17" s="64" t="s">
        <v>440</v>
      </c>
      <c r="F17" s="82" t="s">
        <v>447</v>
      </c>
      <c r="G17" s="91">
        <v>0.76666666666666661</v>
      </c>
    </row>
    <row r="18" spans="1:7" ht="30" customHeight="1" x14ac:dyDescent="0.3">
      <c r="A18" s="140">
        <v>35</v>
      </c>
      <c r="B18" s="74" t="s">
        <v>439</v>
      </c>
      <c r="C18" s="74" t="s">
        <v>439</v>
      </c>
      <c r="D18" s="63" t="s">
        <v>603</v>
      </c>
      <c r="E18" s="63" t="s">
        <v>440</v>
      </c>
      <c r="F18" s="75" t="s">
        <v>448</v>
      </c>
      <c r="G18" s="76">
        <v>0.95151515151515154</v>
      </c>
    </row>
    <row r="19" spans="1:7" ht="30" customHeight="1" x14ac:dyDescent="0.3">
      <c r="A19" s="138">
        <v>15</v>
      </c>
      <c r="B19" s="81" t="s">
        <v>439</v>
      </c>
      <c r="C19" s="81" t="s">
        <v>439</v>
      </c>
      <c r="D19" s="64" t="s">
        <v>604</v>
      </c>
      <c r="E19" s="64" t="s">
        <v>452</v>
      </c>
      <c r="F19" s="82" t="s">
        <v>453</v>
      </c>
      <c r="G19" s="91">
        <v>0.76000000000000012</v>
      </c>
    </row>
    <row r="20" spans="1:7" ht="30" customHeight="1" x14ac:dyDescent="0.3">
      <c r="A20" s="140">
        <v>21</v>
      </c>
      <c r="B20" s="74" t="s">
        <v>439</v>
      </c>
      <c r="C20" s="74" t="s">
        <v>439</v>
      </c>
      <c r="D20" s="63" t="s">
        <v>452</v>
      </c>
      <c r="E20" s="63" t="s">
        <v>452</v>
      </c>
      <c r="F20" s="75" t="s">
        <v>455</v>
      </c>
      <c r="G20" s="76">
        <v>0.37222222222222223</v>
      </c>
    </row>
    <row r="21" spans="1:7" ht="30" customHeight="1" x14ac:dyDescent="0.3">
      <c r="A21" s="138">
        <v>22</v>
      </c>
      <c r="B21" s="81" t="s">
        <v>439</v>
      </c>
      <c r="C21" s="81" t="s">
        <v>439</v>
      </c>
      <c r="D21" s="64" t="s">
        <v>452</v>
      </c>
      <c r="E21" s="64" t="s">
        <v>452</v>
      </c>
      <c r="F21" s="82" t="s">
        <v>458</v>
      </c>
      <c r="G21" s="91">
        <v>0.20555555555555552</v>
      </c>
    </row>
    <row r="22" spans="1:7" ht="30" customHeight="1" x14ac:dyDescent="0.3">
      <c r="A22" s="140">
        <v>23</v>
      </c>
      <c r="B22" s="74" t="s">
        <v>439</v>
      </c>
      <c r="C22" s="74" t="s">
        <v>439</v>
      </c>
      <c r="D22" s="63" t="s">
        <v>452</v>
      </c>
      <c r="E22" s="63" t="s">
        <v>452</v>
      </c>
      <c r="F22" s="75" t="s">
        <v>461</v>
      </c>
      <c r="G22" s="76">
        <v>0.54999999999999993</v>
      </c>
    </row>
    <row r="23" spans="1:7" ht="30" customHeight="1" x14ac:dyDescent="0.3">
      <c r="A23" s="138">
        <v>25</v>
      </c>
      <c r="B23" s="81" t="s">
        <v>439</v>
      </c>
      <c r="C23" s="81" t="s">
        <v>439</v>
      </c>
      <c r="D23" s="64" t="s">
        <v>463</v>
      </c>
      <c r="E23" s="64" t="s">
        <v>463</v>
      </c>
      <c r="F23" s="82" t="s">
        <v>464</v>
      </c>
      <c r="G23" s="91">
        <v>0.77777777777777779</v>
      </c>
    </row>
    <row r="24" spans="1:7" ht="30" customHeight="1" x14ac:dyDescent="0.3">
      <c r="A24" s="140">
        <v>27</v>
      </c>
      <c r="B24" s="74" t="s">
        <v>439</v>
      </c>
      <c r="C24" s="74" t="s">
        <v>439</v>
      </c>
      <c r="D24" s="63" t="s">
        <v>463</v>
      </c>
      <c r="E24" s="63" t="s">
        <v>463</v>
      </c>
      <c r="F24" s="75" t="s">
        <v>466</v>
      </c>
      <c r="G24" s="76">
        <v>0.77777777777777779</v>
      </c>
    </row>
    <row r="25" spans="1:7" ht="30" customHeight="1" x14ac:dyDescent="0.3">
      <c r="A25" s="138">
        <v>29</v>
      </c>
      <c r="B25" s="81" t="s">
        <v>439</v>
      </c>
      <c r="C25" s="81" t="s">
        <v>439</v>
      </c>
      <c r="D25" s="64" t="s">
        <v>463</v>
      </c>
      <c r="E25" s="64" t="s">
        <v>463</v>
      </c>
      <c r="F25" s="82" t="s">
        <v>468</v>
      </c>
      <c r="G25" s="91">
        <v>0.77777777777777779</v>
      </c>
    </row>
    <row r="26" spans="1:7" ht="30" customHeight="1" x14ac:dyDescent="0.3">
      <c r="A26" s="140">
        <v>26</v>
      </c>
      <c r="B26" s="74" t="s">
        <v>439</v>
      </c>
      <c r="C26" s="74" t="s">
        <v>439</v>
      </c>
      <c r="D26" s="63" t="s">
        <v>463</v>
      </c>
      <c r="E26" s="63" t="s">
        <v>470</v>
      </c>
      <c r="F26" s="75" t="s">
        <v>471</v>
      </c>
      <c r="G26" s="76">
        <v>0.78888888888888886</v>
      </c>
    </row>
    <row r="27" spans="1:7" ht="30" customHeight="1" x14ac:dyDescent="0.3">
      <c r="A27" s="138">
        <v>28</v>
      </c>
      <c r="B27" s="81" t="s">
        <v>439</v>
      </c>
      <c r="C27" s="81" t="s">
        <v>439</v>
      </c>
      <c r="D27" s="64" t="s">
        <v>463</v>
      </c>
      <c r="E27" s="64" t="s">
        <v>470</v>
      </c>
      <c r="F27" s="82" t="s">
        <v>473</v>
      </c>
      <c r="G27" s="91">
        <v>0.77777777777777779</v>
      </c>
    </row>
    <row r="28" spans="1:7" ht="30" customHeight="1" x14ac:dyDescent="0.3">
      <c r="A28" s="140">
        <v>30</v>
      </c>
      <c r="B28" s="74" t="s">
        <v>439</v>
      </c>
      <c r="C28" s="74" t="s">
        <v>439</v>
      </c>
      <c r="D28" s="63" t="s">
        <v>463</v>
      </c>
      <c r="E28" s="63" t="s">
        <v>470</v>
      </c>
      <c r="F28" s="75" t="s">
        <v>475</v>
      </c>
      <c r="G28" s="76">
        <v>0.77777777777777779</v>
      </c>
    </row>
    <row r="29" spans="1:7" ht="30" customHeight="1" x14ac:dyDescent="0.3">
      <c r="A29" s="138">
        <v>40</v>
      </c>
      <c r="B29" s="81" t="s">
        <v>477</v>
      </c>
      <c r="C29" s="81" t="s">
        <v>477</v>
      </c>
      <c r="D29" s="64" t="s">
        <v>478</v>
      </c>
      <c r="E29" s="64" t="s">
        <v>478</v>
      </c>
      <c r="F29" s="82" t="s">
        <v>183</v>
      </c>
      <c r="G29" s="91">
        <v>0.60606060606060608</v>
      </c>
    </row>
    <row r="30" spans="1:7" ht="30" customHeight="1" x14ac:dyDescent="0.3">
      <c r="A30" s="140">
        <v>43</v>
      </c>
      <c r="B30" s="74" t="s">
        <v>477</v>
      </c>
      <c r="C30" s="74" t="s">
        <v>477</v>
      </c>
      <c r="D30" s="63" t="s">
        <v>478</v>
      </c>
      <c r="E30" s="63" t="s">
        <v>478</v>
      </c>
      <c r="F30" s="75" t="s">
        <v>186</v>
      </c>
      <c r="G30" s="76">
        <v>0.96969696969696972</v>
      </c>
    </row>
    <row r="31" spans="1:7" ht="30" customHeight="1" x14ac:dyDescent="0.3">
      <c r="A31" s="138">
        <v>46</v>
      </c>
      <c r="B31" s="81" t="s">
        <v>477</v>
      </c>
      <c r="C31" s="81" t="s">
        <v>477</v>
      </c>
      <c r="D31" s="64" t="s">
        <v>480</v>
      </c>
      <c r="E31" s="64" t="s">
        <v>478</v>
      </c>
      <c r="F31" s="82" t="s">
        <v>254</v>
      </c>
      <c r="G31" s="91">
        <v>0.98181818181818192</v>
      </c>
    </row>
    <row r="32" spans="1:7" ht="30" customHeight="1" x14ac:dyDescent="0.3">
      <c r="A32" s="140">
        <v>13</v>
      </c>
      <c r="B32" s="74" t="s">
        <v>477</v>
      </c>
      <c r="C32" s="74" t="s">
        <v>477</v>
      </c>
      <c r="D32" s="63" t="s">
        <v>480</v>
      </c>
      <c r="E32" s="63" t="s">
        <v>480</v>
      </c>
      <c r="F32" s="75" t="s">
        <v>481</v>
      </c>
      <c r="G32" s="76">
        <v>0.73636363636363633</v>
      </c>
    </row>
    <row r="33" spans="1:7" ht="30" customHeight="1" x14ac:dyDescent="0.3">
      <c r="A33" s="138">
        <v>45</v>
      </c>
      <c r="B33" s="81" t="s">
        <v>477</v>
      </c>
      <c r="C33" s="81" t="s">
        <v>477</v>
      </c>
      <c r="D33" s="64" t="s">
        <v>480</v>
      </c>
      <c r="E33" s="64" t="s">
        <v>480</v>
      </c>
      <c r="F33" s="82" t="s">
        <v>484</v>
      </c>
      <c r="G33" s="91">
        <v>0.72424242424242424</v>
      </c>
    </row>
    <row r="34" spans="1:7" ht="30" customHeight="1" x14ac:dyDescent="0.3">
      <c r="A34" s="140">
        <v>47</v>
      </c>
      <c r="B34" s="74" t="s">
        <v>477</v>
      </c>
      <c r="C34" s="74" t="s">
        <v>477</v>
      </c>
      <c r="D34" s="63" t="s">
        <v>480</v>
      </c>
      <c r="E34" s="63" t="s">
        <v>480</v>
      </c>
      <c r="F34" s="75" t="s">
        <v>486</v>
      </c>
      <c r="G34" s="76">
        <v>0.74242424242424232</v>
      </c>
    </row>
    <row r="35" spans="1:7" ht="30" customHeight="1" x14ac:dyDescent="0.3">
      <c r="A35" s="138">
        <v>14</v>
      </c>
      <c r="B35" s="81" t="s">
        <v>477</v>
      </c>
      <c r="C35" s="81" t="s">
        <v>477</v>
      </c>
      <c r="D35" s="64" t="s">
        <v>480</v>
      </c>
      <c r="E35" s="64" t="s">
        <v>480</v>
      </c>
      <c r="F35" s="82" t="s">
        <v>488</v>
      </c>
      <c r="G35" s="91">
        <v>0.73333333333333339</v>
      </c>
    </row>
    <row r="36" spans="1:7" ht="30" customHeight="1" x14ac:dyDescent="0.3">
      <c r="A36" s="140">
        <v>36</v>
      </c>
      <c r="B36" s="74" t="s">
        <v>477</v>
      </c>
      <c r="C36" s="74" t="s">
        <v>477</v>
      </c>
      <c r="D36" s="63" t="s">
        <v>605</v>
      </c>
      <c r="E36" s="63" t="s">
        <v>489</v>
      </c>
      <c r="F36" s="75" t="s">
        <v>490</v>
      </c>
      <c r="G36" s="76">
        <v>0.89696969696969697</v>
      </c>
    </row>
    <row r="37" spans="1:7" ht="30" customHeight="1" x14ac:dyDescent="0.3">
      <c r="A37" s="138">
        <v>44</v>
      </c>
      <c r="B37" s="81" t="s">
        <v>477</v>
      </c>
      <c r="C37" s="81" t="s">
        <v>477</v>
      </c>
      <c r="D37" s="64" t="s">
        <v>478</v>
      </c>
      <c r="E37" s="64" t="s">
        <v>489</v>
      </c>
      <c r="F37" s="82" t="s">
        <v>253</v>
      </c>
      <c r="G37" s="91">
        <v>0.72424242424242424</v>
      </c>
    </row>
    <row r="38" spans="1:7" ht="30" customHeight="1" x14ac:dyDescent="0.3">
      <c r="A38" s="140">
        <v>37</v>
      </c>
      <c r="B38" s="74" t="s">
        <v>477</v>
      </c>
      <c r="C38" s="74" t="s">
        <v>477</v>
      </c>
      <c r="D38" s="63" t="s">
        <v>605</v>
      </c>
      <c r="E38" s="63" t="s">
        <v>489</v>
      </c>
      <c r="F38" s="75" t="s">
        <v>493</v>
      </c>
      <c r="G38" s="76">
        <v>0.74848484848484842</v>
      </c>
    </row>
    <row r="39" spans="1:7" ht="30" customHeight="1" x14ac:dyDescent="0.3">
      <c r="A39" s="138">
        <v>38</v>
      </c>
      <c r="B39" s="81" t="s">
        <v>477</v>
      </c>
      <c r="C39" s="81" t="s">
        <v>477</v>
      </c>
      <c r="D39" s="64" t="s">
        <v>478</v>
      </c>
      <c r="E39" s="64" t="s">
        <v>497</v>
      </c>
      <c r="F39" s="82" t="s">
        <v>252</v>
      </c>
      <c r="G39" s="91">
        <v>0.96969696969696972</v>
      </c>
    </row>
    <row r="40" spans="1:7" ht="30" customHeight="1" x14ac:dyDescent="0.3">
      <c r="A40" s="140">
        <v>41</v>
      </c>
      <c r="B40" s="74" t="s">
        <v>477</v>
      </c>
      <c r="C40" s="74" t="s">
        <v>477</v>
      </c>
      <c r="D40" s="63" t="s">
        <v>478</v>
      </c>
      <c r="E40" s="63" t="s">
        <v>497</v>
      </c>
      <c r="F40" s="75" t="s">
        <v>184</v>
      </c>
      <c r="G40" s="76">
        <v>0.80666666666666664</v>
      </c>
    </row>
    <row r="41" spans="1:7" ht="30" customHeight="1" x14ac:dyDescent="0.3">
      <c r="A41" s="138">
        <v>42</v>
      </c>
      <c r="B41" s="81" t="s">
        <v>477</v>
      </c>
      <c r="C41" s="81" t="s">
        <v>477</v>
      </c>
      <c r="D41" s="64" t="s">
        <v>478</v>
      </c>
      <c r="E41" s="64" t="s">
        <v>497</v>
      </c>
      <c r="F41" s="82" t="s">
        <v>185</v>
      </c>
      <c r="G41" s="91">
        <v>0.63030303030303025</v>
      </c>
    </row>
    <row r="42" spans="1:7" ht="30" customHeight="1" x14ac:dyDescent="0.3">
      <c r="A42" s="140">
        <v>48</v>
      </c>
      <c r="B42" s="74" t="s">
        <v>477</v>
      </c>
      <c r="C42" s="74" t="s">
        <v>477</v>
      </c>
      <c r="D42" s="63" t="s">
        <v>498</v>
      </c>
      <c r="E42" s="63" t="s">
        <v>498</v>
      </c>
      <c r="F42" s="75" t="s">
        <v>499</v>
      </c>
      <c r="G42" s="76">
        <v>0.76666666666666661</v>
      </c>
    </row>
    <row r="43" spans="1:7" ht="30" customHeight="1" x14ac:dyDescent="0.3">
      <c r="A43" s="138">
        <v>49</v>
      </c>
      <c r="B43" s="81" t="s">
        <v>477</v>
      </c>
      <c r="C43" s="81" t="s">
        <v>477</v>
      </c>
      <c r="D43" s="64" t="s">
        <v>498</v>
      </c>
      <c r="E43" s="64" t="s">
        <v>498</v>
      </c>
      <c r="F43" s="82" t="s">
        <v>503</v>
      </c>
      <c r="G43" s="91">
        <v>0.76666666666666661</v>
      </c>
    </row>
    <row r="44" spans="1:7" ht="30" customHeight="1" x14ac:dyDescent="0.3">
      <c r="A44" s="140">
        <v>50</v>
      </c>
      <c r="B44" s="74" t="s">
        <v>477</v>
      </c>
      <c r="C44" s="74" t="s">
        <v>477</v>
      </c>
      <c r="D44" s="63" t="s">
        <v>498</v>
      </c>
      <c r="E44" s="63" t="s">
        <v>498</v>
      </c>
      <c r="F44" s="75" t="s">
        <v>505</v>
      </c>
      <c r="G44" s="76">
        <v>0.77878787878787881</v>
      </c>
    </row>
    <row r="45" spans="1:7" ht="30" customHeight="1" x14ac:dyDescent="0.3">
      <c r="A45" s="138">
        <v>51</v>
      </c>
      <c r="B45" s="81" t="s">
        <v>477</v>
      </c>
      <c r="C45" s="81" t="s">
        <v>477</v>
      </c>
      <c r="D45" s="64" t="s">
        <v>498</v>
      </c>
      <c r="E45" s="64" t="s">
        <v>498</v>
      </c>
      <c r="F45" s="82" t="s">
        <v>507</v>
      </c>
      <c r="G45" s="91">
        <v>0.77878787878787881</v>
      </c>
    </row>
    <row r="46" spans="1:7" ht="30" customHeight="1" x14ac:dyDescent="0.3">
      <c r="A46" s="140">
        <v>52</v>
      </c>
      <c r="B46" s="74" t="s">
        <v>477</v>
      </c>
      <c r="C46" s="74" t="s">
        <v>477</v>
      </c>
      <c r="D46" s="63" t="s">
        <v>498</v>
      </c>
      <c r="E46" s="63" t="s">
        <v>498</v>
      </c>
      <c r="F46" s="75" t="s">
        <v>509</v>
      </c>
      <c r="G46" s="76">
        <v>0.7848484848484848</v>
      </c>
    </row>
    <row r="47" spans="1:7" ht="30" customHeight="1" x14ac:dyDescent="0.3">
      <c r="A47" s="138">
        <v>63</v>
      </c>
      <c r="B47" s="81" t="s">
        <v>479</v>
      </c>
      <c r="C47" s="81" t="s">
        <v>479</v>
      </c>
      <c r="D47" s="64" t="s">
        <v>606</v>
      </c>
      <c r="E47" s="64" t="s">
        <v>511</v>
      </c>
      <c r="F47" s="82" t="s">
        <v>257</v>
      </c>
      <c r="G47" s="91">
        <v>0.95757575757575752</v>
      </c>
    </row>
    <row r="48" spans="1:7" ht="30" customHeight="1" x14ac:dyDescent="0.3">
      <c r="A48" s="140">
        <v>58</v>
      </c>
      <c r="B48" s="74" t="s">
        <v>479</v>
      </c>
      <c r="C48" s="74" t="s">
        <v>479</v>
      </c>
      <c r="D48" s="63" t="s">
        <v>511</v>
      </c>
      <c r="E48" s="63" t="s">
        <v>511</v>
      </c>
      <c r="F48" s="75" t="s">
        <v>190</v>
      </c>
      <c r="G48" s="76">
        <v>0.79090909090909089</v>
      </c>
    </row>
    <row r="49" spans="1:7" ht="30" customHeight="1" x14ac:dyDescent="0.3">
      <c r="A49" s="138">
        <v>59</v>
      </c>
      <c r="B49" s="81" t="s">
        <v>479</v>
      </c>
      <c r="C49" s="81" t="s">
        <v>479</v>
      </c>
      <c r="D49" s="64" t="s">
        <v>511</v>
      </c>
      <c r="E49" s="64" t="s">
        <v>511</v>
      </c>
      <c r="F49" s="82" t="s">
        <v>255</v>
      </c>
      <c r="G49" s="91">
        <v>0.77878787878787881</v>
      </c>
    </row>
    <row r="50" spans="1:7" ht="30" customHeight="1" x14ac:dyDescent="0.3">
      <c r="A50" s="140">
        <v>60</v>
      </c>
      <c r="B50" s="74" t="s">
        <v>479</v>
      </c>
      <c r="C50" s="74" t="s">
        <v>479</v>
      </c>
      <c r="D50" s="63" t="s">
        <v>511</v>
      </c>
      <c r="E50" s="63" t="s">
        <v>511</v>
      </c>
      <c r="F50" s="75" t="s">
        <v>256</v>
      </c>
      <c r="G50" s="76">
        <v>0.77878787878787881</v>
      </c>
    </row>
    <row r="51" spans="1:7" ht="30" customHeight="1" x14ac:dyDescent="0.3">
      <c r="A51" s="138">
        <v>64</v>
      </c>
      <c r="B51" s="81" t="s">
        <v>479</v>
      </c>
      <c r="C51" s="81" t="s">
        <v>479</v>
      </c>
      <c r="D51" s="64" t="s">
        <v>513</v>
      </c>
      <c r="E51" s="64" t="s">
        <v>513</v>
      </c>
      <c r="F51" s="82" t="s">
        <v>514</v>
      </c>
      <c r="G51" s="91">
        <v>0.44545454545454549</v>
      </c>
    </row>
    <row r="52" spans="1:7" ht="30" customHeight="1" x14ac:dyDescent="0.3">
      <c r="A52" s="140">
        <v>65</v>
      </c>
      <c r="B52" s="74" t="s">
        <v>479</v>
      </c>
      <c r="C52" s="74" t="s">
        <v>479</v>
      </c>
      <c r="D52" s="63" t="s">
        <v>513</v>
      </c>
      <c r="E52" s="63" t="s">
        <v>513</v>
      </c>
      <c r="F52" s="75" t="s">
        <v>192</v>
      </c>
      <c r="G52" s="76">
        <v>0.61818181818181805</v>
      </c>
    </row>
    <row r="53" spans="1:7" ht="30" customHeight="1" x14ac:dyDescent="0.3">
      <c r="A53" s="138">
        <v>66</v>
      </c>
      <c r="B53" s="81" t="s">
        <v>479</v>
      </c>
      <c r="C53" s="81" t="s">
        <v>479</v>
      </c>
      <c r="D53" s="64" t="s">
        <v>513</v>
      </c>
      <c r="E53" s="64" t="s">
        <v>513</v>
      </c>
      <c r="F53" s="82" t="s">
        <v>193</v>
      </c>
      <c r="G53" s="91">
        <v>0.63030303030303025</v>
      </c>
    </row>
    <row r="54" spans="1:7" ht="30" customHeight="1" x14ac:dyDescent="0.3">
      <c r="A54" s="140">
        <v>67</v>
      </c>
      <c r="B54" s="74" t="s">
        <v>479</v>
      </c>
      <c r="C54" s="74" t="s">
        <v>479</v>
      </c>
      <c r="D54" s="63" t="s">
        <v>518</v>
      </c>
      <c r="E54" s="63" t="s">
        <v>518</v>
      </c>
      <c r="F54" s="75" t="s">
        <v>194</v>
      </c>
      <c r="G54" s="76">
        <v>0.95151515151515154</v>
      </c>
    </row>
    <row r="55" spans="1:7" ht="30" customHeight="1" x14ac:dyDescent="0.3">
      <c r="A55" s="138">
        <v>68</v>
      </c>
      <c r="B55" s="81" t="s">
        <v>479</v>
      </c>
      <c r="C55" s="81" t="s">
        <v>479</v>
      </c>
      <c r="D55" s="64" t="s">
        <v>518</v>
      </c>
      <c r="E55" s="64" t="s">
        <v>518</v>
      </c>
      <c r="F55" s="82" t="s">
        <v>195</v>
      </c>
      <c r="G55" s="91">
        <v>0.93939393939393945</v>
      </c>
    </row>
    <row r="56" spans="1:7" ht="30" customHeight="1" x14ac:dyDescent="0.3">
      <c r="A56" s="140">
        <v>69</v>
      </c>
      <c r="B56" s="74" t="s">
        <v>479</v>
      </c>
      <c r="C56" s="74" t="s">
        <v>479</v>
      </c>
      <c r="D56" s="63" t="s">
        <v>518</v>
      </c>
      <c r="E56" s="66" t="s">
        <v>518</v>
      </c>
      <c r="F56" s="75" t="s">
        <v>196</v>
      </c>
      <c r="G56" s="76">
        <v>0.93939393939393945</v>
      </c>
    </row>
    <row r="57" spans="1:7" ht="30" customHeight="1" x14ac:dyDescent="0.3">
      <c r="A57" s="138">
        <v>70</v>
      </c>
      <c r="B57" s="81" t="s">
        <v>479</v>
      </c>
      <c r="C57" s="81" t="s">
        <v>479</v>
      </c>
      <c r="D57" s="64" t="s">
        <v>518</v>
      </c>
      <c r="E57" s="64" t="s">
        <v>518</v>
      </c>
      <c r="F57" s="82" t="s">
        <v>218</v>
      </c>
      <c r="G57" s="91">
        <v>0.93939393939393945</v>
      </c>
    </row>
    <row r="58" spans="1:7" ht="30" customHeight="1" x14ac:dyDescent="0.3">
      <c r="A58" s="140">
        <v>53</v>
      </c>
      <c r="B58" s="74" t="s">
        <v>479</v>
      </c>
      <c r="C58" s="74" t="s">
        <v>479</v>
      </c>
      <c r="D58" s="63" t="s">
        <v>607</v>
      </c>
      <c r="E58" s="63" t="s">
        <v>519</v>
      </c>
      <c r="F58" s="75" t="s">
        <v>187</v>
      </c>
      <c r="G58" s="76">
        <v>0.62424242424242415</v>
      </c>
    </row>
    <row r="59" spans="1:7" ht="30" customHeight="1" x14ac:dyDescent="0.3">
      <c r="A59" s="138">
        <v>54</v>
      </c>
      <c r="B59" s="81" t="s">
        <v>479</v>
      </c>
      <c r="C59" s="81" t="s">
        <v>479</v>
      </c>
      <c r="D59" s="64" t="s">
        <v>607</v>
      </c>
      <c r="E59" s="64" t="s">
        <v>519</v>
      </c>
      <c r="F59" s="82" t="s">
        <v>25</v>
      </c>
      <c r="G59" s="91">
        <v>0.58181818181818179</v>
      </c>
    </row>
    <row r="60" spans="1:7" ht="30" customHeight="1" x14ac:dyDescent="0.3">
      <c r="A60" s="140">
        <v>55</v>
      </c>
      <c r="B60" s="74" t="s">
        <v>479</v>
      </c>
      <c r="C60" s="74" t="s">
        <v>479</v>
      </c>
      <c r="D60" s="63" t="s">
        <v>607</v>
      </c>
      <c r="E60" s="63" t="s">
        <v>519</v>
      </c>
      <c r="F60" s="75" t="s">
        <v>188</v>
      </c>
      <c r="G60" s="76">
        <v>0.62424242424242415</v>
      </c>
    </row>
    <row r="61" spans="1:7" ht="30" customHeight="1" x14ac:dyDescent="0.3">
      <c r="A61" s="138">
        <v>56</v>
      </c>
      <c r="B61" s="81" t="s">
        <v>479</v>
      </c>
      <c r="C61" s="81" t="s">
        <v>479</v>
      </c>
      <c r="D61" s="64" t="s">
        <v>607</v>
      </c>
      <c r="E61" s="64" t="s">
        <v>519</v>
      </c>
      <c r="F61" s="82" t="s">
        <v>189</v>
      </c>
      <c r="G61" s="91">
        <v>0.60606060606060608</v>
      </c>
    </row>
    <row r="62" spans="1:7" ht="30" customHeight="1" x14ac:dyDescent="0.3">
      <c r="A62" s="107" t="s">
        <v>520</v>
      </c>
      <c r="B62" s="76"/>
      <c r="C62" s="120"/>
      <c r="D62" s="76"/>
      <c r="E62" s="120"/>
      <c r="F62" s="76" t="s">
        <v>536</v>
      </c>
      <c r="G62" s="76" t="e">
        <v>#N/A</v>
      </c>
    </row>
    <row r="63" spans="1:7" ht="30" customHeight="1" x14ac:dyDescent="0.3">
      <c r="A63" s="108" t="s">
        <v>521</v>
      </c>
      <c r="B63" s="91"/>
      <c r="C63" s="91"/>
      <c r="D63" s="91"/>
      <c r="E63" s="91"/>
      <c r="F63" s="91" t="s">
        <v>540</v>
      </c>
      <c r="G63" s="91" t="e">
        <v>#N/A</v>
      </c>
    </row>
    <row r="64" spans="1:7" ht="30" customHeight="1" x14ac:dyDescent="0.3">
      <c r="A64" s="107" t="s">
        <v>522</v>
      </c>
      <c r="B64" s="76"/>
      <c r="C64" s="76"/>
      <c r="D64" s="76"/>
      <c r="E64" s="76"/>
      <c r="F64" s="76" t="s">
        <v>542</v>
      </c>
      <c r="G64" s="76" t="e">
        <v>#N/A</v>
      </c>
    </row>
    <row r="65" spans="1:7" ht="30" customHeight="1" x14ac:dyDescent="0.3">
      <c r="A65" s="143" t="s">
        <v>523</v>
      </c>
      <c r="B65" s="91"/>
      <c r="C65" s="91"/>
      <c r="D65" s="91"/>
      <c r="E65" s="91"/>
      <c r="F65" s="91" t="s">
        <v>543</v>
      </c>
      <c r="G65" s="91" t="e">
        <v>#N/A</v>
      </c>
    </row>
    <row r="66" spans="1:7" ht="30" customHeight="1" x14ac:dyDescent="0.3">
      <c r="A66" s="107" t="s">
        <v>524</v>
      </c>
      <c r="B66" s="76"/>
      <c r="C66" s="76"/>
      <c r="D66" s="76"/>
      <c r="E66" s="76"/>
      <c r="F66" s="76" t="s">
        <v>544</v>
      </c>
      <c r="G66" s="76" t="e">
        <v>#N/A</v>
      </c>
    </row>
    <row r="67" spans="1:7" ht="30" customHeight="1" x14ac:dyDescent="0.3">
      <c r="A67" s="143" t="s">
        <v>525</v>
      </c>
      <c r="B67" s="91"/>
      <c r="C67" s="91"/>
      <c r="D67" s="91"/>
      <c r="E67" s="91"/>
      <c r="F67" s="91" t="s">
        <v>545</v>
      </c>
      <c r="G67" s="91" t="e">
        <v>#N/A</v>
      </c>
    </row>
    <row r="68" spans="1:7" ht="30" customHeight="1" x14ac:dyDescent="0.3">
      <c r="A68" s="107" t="s">
        <v>526</v>
      </c>
      <c r="B68" s="76"/>
      <c r="C68" s="76"/>
      <c r="D68" s="76"/>
      <c r="E68" s="76"/>
      <c r="F68" s="76" t="s">
        <v>546</v>
      </c>
      <c r="G68" s="76" t="e">
        <v>#N/A</v>
      </c>
    </row>
    <row r="69" spans="1:7" ht="30" customHeight="1" x14ac:dyDescent="0.3">
      <c r="A69" s="108" t="s">
        <v>527</v>
      </c>
      <c r="B69" s="91"/>
      <c r="C69" s="91"/>
      <c r="D69" s="91"/>
      <c r="E69" s="91"/>
      <c r="F69" s="91" t="s">
        <v>547</v>
      </c>
      <c r="G69" s="91" t="e">
        <v>#N/A</v>
      </c>
    </row>
    <row r="70" spans="1:7" ht="30" customHeight="1" x14ac:dyDescent="0.3">
      <c r="A70" s="107" t="s">
        <v>528</v>
      </c>
      <c r="B70" s="76"/>
      <c r="C70" s="121"/>
      <c r="D70" s="87"/>
      <c r="E70" s="121"/>
      <c r="F70" s="121" t="s">
        <v>548</v>
      </c>
      <c r="G70" s="76" t="e">
        <v>#N/A</v>
      </c>
    </row>
    <row r="71" spans="1:7" ht="30" customHeight="1" x14ac:dyDescent="0.3">
      <c r="A71" s="108" t="s">
        <v>529</v>
      </c>
      <c r="B71" s="91"/>
      <c r="C71" s="124"/>
      <c r="D71" s="83"/>
      <c r="E71" s="124"/>
      <c r="F71" s="124" t="s">
        <v>551</v>
      </c>
      <c r="G71" s="91" t="e">
        <v>#N/A</v>
      </c>
    </row>
    <row r="72" spans="1:7" ht="30" customHeight="1" x14ac:dyDescent="0.3">
      <c r="A72" s="107" t="s">
        <v>530</v>
      </c>
      <c r="B72" s="76"/>
      <c r="C72" s="121"/>
      <c r="D72" s="87"/>
      <c r="E72" s="121"/>
      <c r="F72" s="121" t="s">
        <v>554</v>
      </c>
      <c r="G72" s="76" t="e">
        <v>#N/A</v>
      </c>
    </row>
    <row r="73" spans="1:7" ht="30" customHeight="1" x14ac:dyDescent="0.3">
      <c r="A73" s="108" t="s">
        <v>531</v>
      </c>
      <c r="B73" s="91"/>
      <c r="C73" s="124"/>
      <c r="D73" s="83"/>
      <c r="E73" s="124"/>
      <c r="F73" s="124" t="s">
        <v>557</v>
      </c>
      <c r="G73" s="91" t="e">
        <v>#N/A</v>
      </c>
    </row>
    <row r="74" spans="1:7" ht="30" customHeight="1" x14ac:dyDescent="0.3">
      <c r="A74" s="107" t="s">
        <v>532</v>
      </c>
      <c r="B74" s="76"/>
      <c r="C74" s="76"/>
      <c r="D74" s="76"/>
      <c r="E74" s="76"/>
      <c r="F74" s="76" t="s">
        <v>560</v>
      </c>
      <c r="G74" s="76" t="e">
        <v>#N/A</v>
      </c>
    </row>
    <row r="75" spans="1:7" ht="30" customHeight="1" x14ac:dyDescent="0.3">
      <c r="A75" s="108" t="s">
        <v>533</v>
      </c>
      <c r="B75" s="91"/>
      <c r="C75" s="91"/>
      <c r="D75" s="130"/>
      <c r="E75" s="91"/>
      <c r="F75" s="91" t="s">
        <v>561</v>
      </c>
      <c r="G75" s="91" t="e">
        <v>#N/A</v>
      </c>
    </row>
    <row r="76" spans="1:7" ht="30" customHeight="1" x14ac:dyDescent="0.3">
      <c r="A76" s="107" t="s">
        <v>534</v>
      </c>
      <c r="B76" s="76"/>
      <c r="C76" s="120"/>
      <c r="D76" s="120"/>
      <c r="E76" s="120"/>
      <c r="F76" s="76" t="s">
        <v>562</v>
      </c>
      <c r="G76" s="76" t="e">
        <v>#N/A</v>
      </c>
    </row>
    <row r="77" spans="1:7" ht="30" customHeight="1" x14ac:dyDescent="0.3">
      <c r="A77" s="143" t="s">
        <v>535</v>
      </c>
      <c r="B77" s="91"/>
      <c r="C77" s="91"/>
      <c r="D77" s="91"/>
      <c r="E77" s="91"/>
      <c r="F77" s="91" t="s">
        <v>563</v>
      </c>
      <c r="G77" s="91" t="e">
        <v>#N/A</v>
      </c>
    </row>
    <row r="78" spans="1:7" ht="30" customHeight="1" x14ac:dyDescent="0.3">
      <c r="A78" s="107" t="s">
        <v>565</v>
      </c>
      <c r="B78" s="76"/>
      <c r="C78" s="76"/>
      <c r="D78" s="76"/>
      <c r="E78" s="76"/>
      <c r="F78" s="76" t="s">
        <v>573</v>
      </c>
      <c r="G78" s="76" t="e">
        <v>#N/A</v>
      </c>
    </row>
    <row r="79" spans="1:7" ht="30" customHeight="1" x14ac:dyDescent="0.3">
      <c r="A79" s="143" t="s">
        <v>566</v>
      </c>
      <c r="B79" s="91"/>
      <c r="C79" s="91"/>
      <c r="D79" s="91"/>
      <c r="E79" s="91"/>
      <c r="F79" s="91" t="s">
        <v>574</v>
      </c>
      <c r="G79" s="91" t="e">
        <v>#N/A</v>
      </c>
    </row>
    <row r="80" spans="1:7" ht="30" customHeight="1" x14ac:dyDescent="0.3">
      <c r="A80" s="107" t="s">
        <v>567</v>
      </c>
      <c r="B80" s="76"/>
      <c r="C80" s="76"/>
      <c r="D80" s="76"/>
      <c r="E80" s="76"/>
      <c r="F80" s="76" t="s">
        <v>575</v>
      </c>
      <c r="G80" s="76" t="e">
        <v>#N/A</v>
      </c>
    </row>
    <row r="81" spans="1:7" ht="30" customHeight="1" x14ac:dyDescent="0.3">
      <c r="A81" s="108" t="s">
        <v>568</v>
      </c>
      <c r="B81" s="91"/>
      <c r="C81" s="91"/>
      <c r="D81" s="91"/>
      <c r="E81" s="91"/>
      <c r="F81" s="91" t="s">
        <v>576</v>
      </c>
      <c r="G81" s="91" t="e">
        <v>#N/A</v>
      </c>
    </row>
    <row r="82" spans="1:7" ht="30" customHeight="1" x14ac:dyDescent="0.3">
      <c r="A82" s="107" t="s">
        <v>569</v>
      </c>
      <c r="B82" s="76"/>
      <c r="C82" s="76"/>
      <c r="D82" s="76"/>
      <c r="E82" s="76"/>
      <c r="F82" s="76" t="s">
        <v>577</v>
      </c>
      <c r="G82" s="76" t="e">
        <v>#N/A</v>
      </c>
    </row>
    <row r="83" spans="1:7" ht="30" customHeight="1" x14ac:dyDescent="0.3">
      <c r="A83" s="108" t="s">
        <v>570</v>
      </c>
      <c r="B83" s="91"/>
      <c r="C83" s="91"/>
      <c r="D83" s="91"/>
      <c r="E83" s="91"/>
      <c r="F83" s="91" t="s">
        <v>578</v>
      </c>
      <c r="G83" s="91" t="e">
        <v>#N/A</v>
      </c>
    </row>
    <row r="84" spans="1:7" ht="30" customHeight="1" x14ac:dyDescent="0.3">
      <c r="A84" s="107" t="s">
        <v>571</v>
      </c>
      <c r="B84" s="76"/>
      <c r="C84" s="76"/>
      <c r="D84" s="76"/>
      <c r="E84" s="76"/>
      <c r="F84" s="76" t="s">
        <v>579</v>
      </c>
      <c r="G84" s="76" t="e">
        <v>#N/A</v>
      </c>
    </row>
    <row r="85" spans="1:7" ht="30" customHeight="1" x14ac:dyDescent="0.3">
      <c r="A85" s="108" t="s">
        <v>572</v>
      </c>
      <c r="B85" s="91"/>
      <c r="C85" s="91"/>
      <c r="D85" s="91"/>
      <c r="E85" s="91"/>
      <c r="F85" s="91" t="s">
        <v>580</v>
      </c>
      <c r="G85" s="91" t="e">
        <v>#N/A</v>
      </c>
    </row>
  </sheetData>
  <autoFilter ref="A1:G1" xr:uid="{EADC632D-357A-48BB-A33C-F80764B4D3A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49B57-A44C-4576-B865-FBF8E20E689F}">
  <sheetPr codeName="Sheet20"/>
  <dimension ref="A1:E21"/>
  <sheetViews>
    <sheetView workbookViewId="0">
      <selection activeCell="A24" sqref="A24"/>
    </sheetView>
  </sheetViews>
  <sheetFormatPr defaultRowHeight="14.4" x14ac:dyDescent="0.3"/>
  <cols>
    <col min="1" max="1" width="124.5546875" customWidth="1"/>
    <col min="2" max="2" width="14.5546875" bestFit="1" customWidth="1"/>
    <col min="4" max="4" width="10.21875" bestFit="1" customWidth="1"/>
    <col min="5" max="5" width="79.44140625" customWidth="1"/>
    <col min="7" max="7" width="36.44140625" customWidth="1"/>
    <col min="8" max="8" width="14.5546875" bestFit="1" customWidth="1"/>
    <col min="9" max="9" width="41" customWidth="1"/>
    <col min="11" max="11" width="8.5546875" bestFit="1" customWidth="1"/>
    <col min="12" max="12" width="9.5546875" bestFit="1" customWidth="1"/>
    <col min="14" max="14" width="15.21875" bestFit="1" customWidth="1"/>
  </cols>
  <sheetData>
    <row r="1" spans="1:5" ht="18" x14ac:dyDescent="0.35">
      <c r="A1" s="36" t="s">
        <v>180</v>
      </c>
    </row>
    <row r="2" spans="1:5" ht="28.8" x14ac:dyDescent="0.3">
      <c r="A2" s="10" t="s">
        <v>266</v>
      </c>
      <c r="B2" t="s">
        <v>1</v>
      </c>
      <c r="D2" s="8" t="s">
        <v>26</v>
      </c>
      <c r="E2" s="13"/>
    </row>
    <row r="3" spans="1:5" ht="24.75" customHeight="1" x14ac:dyDescent="0.3">
      <c r="A3" s="38" t="s">
        <v>259</v>
      </c>
      <c r="B3" s="5"/>
    </row>
    <row r="4" spans="1:5" ht="24.75" customHeight="1" x14ac:dyDescent="0.3">
      <c r="A4" s="38" t="s">
        <v>260</v>
      </c>
      <c r="B4" s="5"/>
    </row>
    <row r="5" spans="1:5" ht="24.75" customHeight="1" x14ac:dyDescent="0.3">
      <c r="A5" s="38" t="s">
        <v>261</v>
      </c>
      <c r="B5" s="5"/>
    </row>
    <row r="6" spans="1:5" ht="24.75" customHeight="1" x14ac:dyDescent="0.3">
      <c r="A6" s="38" t="s">
        <v>262</v>
      </c>
      <c r="B6" s="5"/>
    </row>
    <row r="7" spans="1:5" ht="24.75" customHeight="1" x14ac:dyDescent="0.3">
      <c r="A7" s="3" t="s">
        <v>263</v>
      </c>
      <c r="B7" s="5"/>
    </row>
    <row r="8" spans="1:5" ht="24.75" customHeight="1" x14ac:dyDescent="0.3">
      <c r="A8" s="3" t="s">
        <v>84</v>
      </c>
      <c r="B8" s="5"/>
    </row>
    <row r="9" spans="1:5" ht="24.75" customHeight="1" x14ac:dyDescent="0.3">
      <c r="A9" s="3" t="s">
        <v>264</v>
      </c>
      <c r="B9" s="5"/>
    </row>
    <row r="10" spans="1:5" ht="31.5" customHeight="1" x14ac:dyDescent="0.3">
      <c r="A10" s="3" t="s">
        <v>265</v>
      </c>
      <c r="B10" s="5"/>
    </row>
    <row r="12" spans="1:5" x14ac:dyDescent="0.3">
      <c r="A12" s="1" t="s">
        <v>2</v>
      </c>
      <c r="D12" s="8" t="s">
        <v>3</v>
      </c>
    </row>
    <row r="13" spans="1:5" x14ac:dyDescent="0.3">
      <c r="A13" s="5"/>
      <c r="D13" s="9"/>
    </row>
    <row r="20" ht="29.1" customHeight="1" x14ac:dyDescent="0.3"/>
    <row r="21" ht="20.100000000000001" customHeight="1" x14ac:dyDescent="0.3"/>
  </sheetData>
  <sheetProtection sheet="1" objects="1" scenarios="1"/>
  <protectedRanges>
    <protectedRange sqref="A13" name="Comments"/>
    <protectedRange sqref="D13" name="Rating"/>
    <protectedRange sqref="E2" name="Reference_2_1_1"/>
    <protectedRange sqref="B2" name="Answers_1_1"/>
    <protectedRange sqref="B3:B10" name="Answers_1"/>
  </protectedRanges>
  <dataValidations count="4">
    <dataValidation type="list" allowBlank="1" showInputMessage="1" showErrorMessage="1" sqref="D13" xr:uid="{B7F345ED-59B1-402B-A5B4-5A6104A0C53D}">
      <formula1>"0,1,2,3,4,5"</formula1>
    </dataValidation>
    <dataValidation type="textLength" allowBlank="1" showInputMessage="1" showErrorMessage="1" sqref="A13" xr:uid="{731A0D9F-EF7B-4E9C-9205-E7A731AB5A62}">
      <formula1>0</formula1>
      <formula2>10000</formula2>
    </dataValidation>
    <dataValidation type="list" allowBlank="1" showErrorMessage="1" prompt="Select the arrow to the right to activate the drop-down menu." sqref="B2" xr:uid="{069B7658-01B3-41DF-80AB-A3507C52A10A}">
      <formula1>"Choose answer, Data not available/Not willing to share"</formula1>
    </dataValidation>
    <dataValidation type="list" allowBlank="1" showInputMessage="1" showErrorMessage="1" sqref="B3:B10" xr:uid="{0DB3263F-F9CF-4E13-9C6F-93F49B94A4C5}">
      <formula1>"Yes"</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B6F13-FDAE-45B1-9E72-36FDA5132924}">
  <sheetPr codeName="Sheet11"/>
  <dimension ref="A1:D17"/>
  <sheetViews>
    <sheetView workbookViewId="0"/>
  </sheetViews>
  <sheetFormatPr defaultRowHeight="14.4" x14ac:dyDescent="0.3"/>
  <cols>
    <col min="1" max="1" width="95" customWidth="1"/>
    <col min="2" max="2" width="30.21875" customWidth="1"/>
    <col min="3" max="3" width="17.5546875" customWidth="1"/>
    <col min="4" max="4" width="98.77734375" customWidth="1"/>
  </cols>
  <sheetData>
    <row r="1" spans="1:4" ht="50.55" customHeight="1" x14ac:dyDescent="0.3">
      <c r="A1" s="2" t="s">
        <v>28</v>
      </c>
    </row>
    <row r="2" spans="1:4" ht="57.6" x14ac:dyDescent="0.3">
      <c r="A2" s="10" t="s">
        <v>29</v>
      </c>
      <c r="B2" t="s">
        <v>1</v>
      </c>
      <c r="C2" s="8" t="s">
        <v>26</v>
      </c>
      <c r="D2" s="13"/>
    </row>
    <row r="3" spans="1:4" x14ac:dyDescent="0.3">
      <c r="A3" s="14" t="s">
        <v>267</v>
      </c>
      <c r="B3" s="5"/>
    </row>
    <row r="4" spans="1:4" x14ac:dyDescent="0.3">
      <c r="A4" s="14" t="s">
        <v>30</v>
      </c>
      <c r="B4" s="5"/>
    </row>
    <row r="5" spans="1:4" ht="28.8" x14ac:dyDescent="0.3">
      <c r="A5" s="14" t="s">
        <v>31</v>
      </c>
      <c r="B5" s="5"/>
    </row>
    <row r="6" spans="1:4" ht="28.8" x14ac:dyDescent="0.3">
      <c r="A6" s="14" t="s">
        <v>32</v>
      </c>
      <c r="B6" s="5"/>
    </row>
    <row r="7" spans="1:4" ht="28.8" x14ac:dyDescent="0.3">
      <c r="A7" s="14" t="s">
        <v>33</v>
      </c>
      <c r="B7" s="5"/>
    </row>
    <row r="8" spans="1:4" ht="28.8" x14ac:dyDescent="0.3">
      <c r="A8" s="10" t="s">
        <v>34</v>
      </c>
      <c r="B8" t="s">
        <v>1</v>
      </c>
      <c r="C8" s="8" t="s">
        <v>26</v>
      </c>
      <c r="D8" s="13"/>
    </row>
    <row r="9" spans="1:4" ht="25.2" customHeight="1" x14ac:dyDescent="0.3">
      <c r="A9" s="56" t="s">
        <v>268</v>
      </c>
      <c r="B9" s="5"/>
    </row>
    <row r="10" spans="1:4" ht="22.2" customHeight="1" x14ac:dyDescent="0.3">
      <c r="A10" s="56" t="s">
        <v>35</v>
      </c>
      <c r="B10" s="5"/>
    </row>
    <row r="11" spans="1:4" x14ac:dyDescent="0.3">
      <c r="A11" s="56" t="s">
        <v>36</v>
      </c>
      <c r="B11" s="5"/>
    </row>
    <row r="12" spans="1:4" ht="32.549999999999997" customHeight="1" x14ac:dyDescent="0.3">
      <c r="A12" s="56" t="s">
        <v>37</v>
      </c>
      <c r="B12" s="5"/>
    </row>
    <row r="13" spans="1:4" ht="28.8" x14ac:dyDescent="0.3">
      <c r="A13" s="56" t="s">
        <v>38</v>
      </c>
      <c r="B13" s="5"/>
    </row>
    <row r="14" spans="1:4" ht="28.8" x14ac:dyDescent="0.3">
      <c r="A14" s="3" t="s">
        <v>269</v>
      </c>
      <c r="B14" s="5"/>
    </row>
    <row r="16" spans="1:4" x14ac:dyDescent="0.3">
      <c r="A16" s="1" t="s">
        <v>2</v>
      </c>
      <c r="D16" s="8" t="s">
        <v>3</v>
      </c>
    </row>
    <row r="17" spans="1:4" x14ac:dyDescent="0.3">
      <c r="A17" s="5"/>
      <c r="D17" s="9"/>
    </row>
  </sheetData>
  <sheetProtection sheet="1" objects="1" scenarios="1"/>
  <protectedRanges>
    <protectedRange sqref="B9:B14" name="Answers"/>
    <protectedRange sqref="B3:B5" name="Answers_1"/>
    <protectedRange sqref="B6" name="Answers_2"/>
    <protectedRange sqref="B7" name="Answers_3"/>
    <protectedRange sqref="A17" name="Comments"/>
    <protectedRange sqref="D2" name="Reference_2"/>
    <protectedRange sqref="D8" name="Reference_2_1"/>
    <protectedRange sqref="D17" name="Rating"/>
    <protectedRange sqref="B2" name="Answers_1_1"/>
    <protectedRange sqref="B8" name="Answers_1_1_1"/>
  </protectedRanges>
  <dataValidations count="4">
    <dataValidation type="list" allowBlank="1" showInputMessage="1" showErrorMessage="1" sqref="B9:B14 B3:B7" xr:uid="{88CA73EE-1399-483C-A624-4E6CF9C640CB}">
      <formula1>"Yes"</formula1>
    </dataValidation>
    <dataValidation type="textLength" allowBlank="1" showInputMessage="1" showErrorMessage="1" sqref="A17" xr:uid="{3EB628C2-2585-49D6-9E82-DC07A26A9716}">
      <formula1>0</formula1>
      <formula2>10000</formula2>
    </dataValidation>
    <dataValidation type="list" allowBlank="1" showInputMessage="1" showErrorMessage="1" sqref="D17" xr:uid="{5251AD74-12E3-43F3-85EB-228F94AE99E6}">
      <formula1>"0,1,2,3,4,5"</formula1>
    </dataValidation>
    <dataValidation type="list" allowBlank="1" showInputMessage="1" showErrorMessage="1" sqref="B8 B2" xr:uid="{62AF27BB-CC2D-40F8-B8E9-4D582DE6EB64}">
      <formula1>"Choose answer, Data not available/Not willing to share"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17215-C0B8-4DB6-B59B-739464849CE0}">
  <sheetPr codeName="Sheet16"/>
  <dimension ref="A1:D22"/>
  <sheetViews>
    <sheetView workbookViewId="0"/>
  </sheetViews>
  <sheetFormatPr defaultRowHeight="14.4" x14ac:dyDescent="0.3"/>
  <cols>
    <col min="1" max="1" width="111.21875" customWidth="1"/>
    <col min="2" max="2" width="69.21875" customWidth="1"/>
    <col min="3" max="3" width="27.21875" customWidth="1"/>
    <col min="4" max="4" width="59.21875" customWidth="1"/>
  </cols>
  <sheetData>
    <row r="1" spans="1:4" ht="58.2" customHeight="1" x14ac:dyDescent="0.3">
      <c r="A1" s="2" t="s">
        <v>50</v>
      </c>
    </row>
    <row r="2" spans="1:4" ht="28.8" x14ac:dyDescent="0.3">
      <c r="A2" s="10" t="s">
        <v>51</v>
      </c>
      <c r="B2" t="s">
        <v>1</v>
      </c>
      <c r="C2" s="8" t="s">
        <v>26</v>
      </c>
      <c r="D2" s="13"/>
    </row>
    <row r="3" spans="1:4" x14ac:dyDescent="0.3">
      <c r="B3" s="15"/>
    </row>
    <row r="5" spans="1:4" ht="28.8" x14ac:dyDescent="0.3">
      <c r="A5" s="10" t="s">
        <v>65</v>
      </c>
      <c r="B5" t="s">
        <v>1</v>
      </c>
      <c r="C5" s="8" t="s">
        <v>26</v>
      </c>
      <c r="D5" s="13"/>
    </row>
    <row r="6" spans="1:4" x14ac:dyDescent="0.3">
      <c r="B6" s="15"/>
    </row>
    <row r="8" spans="1:4" ht="28.8" x14ac:dyDescent="0.3">
      <c r="A8" s="10" t="s">
        <v>66</v>
      </c>
      <c r="B8" t="s">
        <v>1</v>
      </c>
      <c r="C8" s="8" t="s">
        <v>26</v>
      </c>
      <c r="D8" s="13"/>
    </row>
    <row r="9" spans="1:4" x14ac:dyDescent="0.3">
      <c r="B9" s="15"/>
    </row>
    <row r="10" spans="1:4" ht="27" customHeight="1" x14ac:dyDescent="0.3"/>
    <row r="11" spans="1:4" ht="61.2" customHeight="1" x14ac:dyDescent="0.3">
      <c r="A11" s="10" t="s">
        <v>67</v>
      </c>
      <c r="B11" t="s">
        <v>1</v>
      </c>
      <c r="C11" s="8" t="s">
        <v>26</v>
      </c>
      <c r="D11" s="13"/>
    </row>
    <row r="12" spans="1:4" x14ac:dyDescent="0.3">
      <c r="B12" s="15"/>
    </row>
    <row r="14" spans="1:4" ht="46.2" customHeight="1" x14ac:dyDescent="0.3">
      <c r="A14" s="10" t="s">
        <v>381</v>
      </c>
      <c r="B14" t="s">
        <v>1</v>
      </c>
      <c r="C14" s="8" t="s">
        <v>26</v>
      </c>
      <c r="D14" s="13"/>
    </row>
    <row r="15" spans="1:4" x14ac:dyDescent="0.3">
      <c r="A15" s="12"/>
      <c r="B15" s="5"/>
    </row>
    <row r="16" spans="1:4" x14ac:dyDescent="0.3">
      <c r="A16" s="12"/>
    </row>
    <row r="17" spans="1:4" x14ac:dyDescent="0.3">
      <c r="A17" s="12"/>
      <c r="B17" s="12"/>
    </row>
    <row r="18" spans="1:4" x14ac:dyDescent="0.3">
      <c r="A18" s="12"/>
    </row>
    <row r="19" spans="1:4" x14ac:dyDescent="0.3">
      <c r="A19" s="12"/>
      <c r="B19" s="12"/>
    </row>
    <row r="20" spans="1:4" x14ac:dyDescent="0.3">
      <c r="A20" s="12"/>
      <c r="B20" s="12"/>
    </row>
    <row r="21" spans="1:4" x14ac:dyDescent="0.3">
      <c r="A21" s="1" t="s">
        <v>2</v>
      </c>
      <c r="D21" s="8" t="s">
        <v>3</v>
      </c>
    </row>
    <row r="22" spans="1:4" x14ac:dyDescent="0.3">
      <c r="A22" s="5"/>
      <c r="D22" s="9"/>
    </row>
  </sheetData>
  <sheetProtection sheet="1" objects="1" scenarios="1"/>
  <protectedRanges>
    <protectedRange sqref="B2 B5 B8:B9 B11 B14" name="Choice"/>
    <protectedRange sqref="B3 B6 B12" name="Answers_1_1"/>
    <protectedRange sqref="A22" name="Comments"/>
    <protectedRange sqref="D22" name="Rating"/>
    <protectedRange sqref="D2" name="Reference_2_1"/>
    <protectedRange sqref="D5 D8" name="Reference_2_1_1"/>
    <protectedRange sqref="D11" name="Reference_2_1_3"/>
    <protectedRange sqref="D14" name="Reference_2_1_4"/>
    <protectedRange sqref="B15" name="Answers_1"/>
    <protectedRange sqref="B17" name="Answers_2"/>
    <protectedRange sqref="B19:B20" name="Answers_3"/>
  </protectedRanges>
  <dataValidations count="3">
    <dataValidation type="textLength" allowBlank="1" showInputMessage="1" showErrorMessage="1" sqref="A22" xr:uid="{DE109D07-FE34-4A29-9E62-1FE420C52B90}">
      <formula1>0</formula1>
      <formula2>10000</formula2>
    </dataValidation>
    <dataValidation type="list" allowBlank="1" showInputMessage="1" showErrorMessage="1" sqref="D22" xr:uid="{9AD46D13-3DA0-4EA5-A7F5-13FE7F005A76}">
      <formula1>"0,1,2,3,4,5"</formula1>
    </dataValidation>
    <dataValidation type="list" allowBlank="1" showInputMessage="1" showErrorMessage="1" sqref="B2 B5 B11 B14 B8" xr:uid="{C7CAE202-A9A4-4B98-AB77-7364BB7F8B03}">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25B2FD5B-5678-4816-B760-7CA0E7C6E712}">
          <x14:formula1>
            <xm:f>'38-ranges'!$A$1:$A$5</xm:f>
          </x14:formula1>
          <xm:sqref>B3</xm:sqref>
        </x14:dataValidation>
        <x14:dataValidation type="list" allowBlank="1" showInputMessage="1" showErrorMessage="1" xr:uid="{7EFAA26A-A4D4-48C8-B979-69326BB6B9EB}">
          <x14:formula1>
            <xm:f>'38-ranges'!$A$8:$A$12</xm:f>
          </x14:formula1>
          <xm:sqref>B6</xm:sqref>
        </x14:dataValidation>
        <x14:dataValidation type="list" allowBlank="1" showInputMessage="1" showErrorMessage="1" xr:uid="{9BC5E639-C1E6-4636-B9BD-094D35EB6171}">
          <x14:formula1>
            <xm:f>'38-ranges'!$A$21:$A$23</xm:f>
          </x14:formula1>
          <xm:sqref>B12</xm:sqref>
        </x14:dataValidation>
        <x14:dataValidation type="list" allowBlank="1" showInputMessage="1" showErrorMessage="1" xr:uid="{B9569BC8-CB35-4B77-AE21-13C551C7A165}">
          <x14:formula1>
            <xm:f>'38-ranges'!$A$15:$A$17</xm:f>
          </x14:formula1>
          <xm:sqref>B9</xm:sqref>
        </x14:dataValidation>
        <x14:dataValidation type="list" allowBlank="1" showErrorMessage="1" xr:uid="{77EE783C-B8B1-4257-A787-F4E4E285C9DA}">
          <x14:formula1>
            <xm:f>'38-ranges'!$A$26:$A$29</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E788-D75A-4985-94FB-927646F02EBF}">
  <sheetPr codeName="Sheet17"/>
  <dimension ref="A1:A29"/>
  <sheetViews>
    <sheetView workbookViewId="0">
      <selection activeCell="A15" sqref="A15:A17"/>
    </sheetView>
  </sheetViews>
  <sheetFormatPr defaultRowHeight="14.4" x14ac:dyDescent="0.3"/>
  <cols>
    <col min="1" max="1" width="24.5546875" customWidth="1"/>
  </cols>
  <sheetData>
    <row r="1" spans="1:1" x14ac:dyDescent="0.3">
      <c r="A1" t="s">
        <v>52</v>
      </c>
    </row>
    <row r="2" spans="1:1" x14ac:dyDescent="0.3">
      <c r="A2" t="s">
        <v>53</v>
      </c>
    </row>
    <row r="3" spans="1:1" x14ac:dyDescent="0.3">
      <c r="A3" t="s">
        <v>54</v>
      </c>
    </row>
    <row r="4" spans="1:1" x14ac:dyDescent="0.3">
      <c r="A4" t="s">
        <v>55</v>
      </c>
    </row>
    <row r="5" spans="1:1" x14ac:dyDescent="0.3">
      <c r="A5" t="s">
        <v>56</v>
      </c>
    </row>
    <row r="8" spans="1:1" x14ac:dyDescent="0.3">
      <c r="A8" t="s">
        <v>52</v>
      </c>
    </row>
    <row r="9" spans="1:1" x14ac:dyDescent="0.3">
      <c r="A9" t="s">
        <v>57</v>
      </c>
    </row>
    <row r="10" spans="1:1" x14ac:dyDescent="0.3">
      <c r="A10" t="s">
        <v>58</v>
      </c>
    </row>
    <row r="11" spans="1:1" x14ac:dyDescent="0.3">
      <c r="A11" t="s">
        <v>59</v>
      </c>
    </row>
    <row r="12" spans="1:1" x14ac:dyDescent="0.3">
      <c r="A12" t="s">
        <v>60</v>
      </c>
    </row>
    <row r="15" spans="1:1" x14ac:dyDescent="0.3">
      <c r="A15" t="s">
        <v>52</v>
      </c>
    </row>
    <row r="16" spans="1:1" x14ac:dyDescent="0.3">
      <c r="A16" t="s">
        <v>386</v>
      </c>
    </row>
    <row r="17" spans="1:1" x14ac:dyDescent="0.3">
      <c r="A17" t="s">
        <v>387</v>
      </c>
    </row>
    <row r="21" spans="1:1" x14ac:dyDescent="0.3">
      <c r="A21" t="s">
        <v>52</v>
      </c>
    </row>
    <row r="22" spans="1:1" x14ac:dyDescent="0.3">
      <c r="A22" t="s">
        <v>61</v>
      </c>
    </row>
    <row r="23" spans="1:1" x14ac:dyDescent="0.3">
      <c r="A23" t="s">
        <v>39</v>
      </c>
    </row>
    <row r="26" spans="1:1" x14ac:dyDescent="0.3">
      <c r="A26" t="s">
        <v>52</v>
      </c>
    </row>
    <row r="27" spans="1:1" x14ac:dyDescent="0.3">
      <c r="A27" t="s">
        <v>62</v>
      </c>
    </row>
    <row r="28" spans="1:1" x14ac:dyDescent="0.3">
      <c r="A28" t="s">
        <v>63</v>
      </c>
    </row>
    <row r="29" spans="1:1" x14ac:dyDescent="0.3">
      <c r="A29" t="s">
        <v>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5EFE-667B-4556-915F-133FEA1B7537}">
  <sheetPr codeName="Sheet22"/>
  <dimension ref="A1:J39"/>
  <sheetViews>
    <sheetView workbookViewId="0"/>
  </sheetViews>
  <sheetFormatPr defaultRowHeight="14.4" x14ac:dyDescent="0.3"/>
  <cols>
    <col min="1" max="1" width="73.77734375" customWidth="1"/>
    <col min="2" max="2" width="48.77734375" customWidth="1"/>
    <col min="4" max="4" width="10.21875" bestFit="1" customWidth="1"/>
    <col min="5" max="5" width="93.5546875" customWidth="1"/>
  </cols>
  <sheetData>
    <row r="1" spans="1:10" ht="18" x14ac:dyDescent="0.3">
      <c r="A1" s="39" t="s">
        <v>181</v>
      </c>
    </row>
    <row r="2" spans="1:10" ht="28.8" x14ac:dyDescent="0.3">
      <c r="A2" s="10" t="s">
        <v>271</v>
      </c>
      <c r="B2" t="s">
        <v>1</v>
      </c>
      <c r="D2" s="8" t="s">
        <v>26</v>
      </c>
      <c r="E2" s="13"/>
    </row>
    <row r="3" spans="1:10" x14ac:dyDescent="0.3">
      <c r="A3" s="12" t="s">
        <v>85</v>
      </c>
      <c r="B3" s="5"/>
    </row>
    <row r="4" spans="1:10" x14ac:dyDescent="0.3">
      <c r="A4" s="12" t="s">
        <v>86</v>
      </c>
      <c r="B4" s="5"/>
    </row>
    <row r="5" spans="1:10" x14ac:dyDescent="0.3">
      <c r="A5" s="12" t="s">
        <v>272</v>
      </c>
      <c r="B5" s="5"/>
    </row>
    <row r="6" spans="1:10" x14ac:dyDescent="0.3">
      <c r="A6" s="12" t="s">
        <v>87</v>
      </c>
      <c r="B6" s="5"/>
    </row>
    <row r="7" spans="1:10" ht="28.8" x14ac:dyDescent="0.3">
      <c r="A7" s="10" t="s">
        <v>273</v>
      </c>
      <c r="B7" t="s">
        <v>1</v>
      </c>
      <c r="D7" s="8" t="s">
        <v>26</v>
      </c>
      <c r="E7" s="13"/>
    </row>
    <row r="8" spans="1:10" x14ac:dyDescent="0.3">
      <c r="A8" s="12" t="s">
        <v>88</v>
      </c>
      <c r="B8" s="5"/>
      <c r="H8" s="28"/>
      <c r="J8" s="16"/>
    </row>
    <row r="9" spans="1:10" ht="43.2" x14ac:dyDescent="0.3">
      <c r="A9" s="12" t="s">
        <v>89</v>
      </c>
      <c r="B9" s="5"/>
      <c r="H9" s="28"/>
      <c r="J9" s="16"/>
    </row>
    <row r="10" spans="1:10" x14ac:dyDescent="0.3">
      <c r="A10" s="40" t="s">
        <v>90</v>
      </c>
      <c r="B10" s="5"/>
    </row>
    <row r="11" spans="1:10" ht="28.8" x14ac:dyDescent="0.3">
      <c r="A11" s="40" t="s">
        <v>274</v>
      </c>
      <c r="B11" s="5"/>
    </row>
    <row r="12" spans="1:10" ht="28.8" x14ac:dyDescent="0.3">
      <c r="A12" s="40" t="s">
        <v>91</v>
      </c>
      <c r="B12" s="5"/>
    </row>
    <row r="13" spans="1:10" x14ac:dyDescent="0.3">
      <c r="A13" s="40" t="s">
        <v>92</v>
      </c>
      <c r="B13" s="5"/>
    </row>
    <row r="14" spans="1:10" x14ac:dyDescent="0.3">
      <c r="A14" s="40" t="s">
        <v>93</v>
      </c>
      <c r="B14" s="5"/>
    </row>
    <row r="15" spans="1:10" ht="28.8" x14ac:dyDescent="0.3">
      <c r="A15" s="40" t="s">
        <v>182</v>
      </c>
      <c r="B15" s="5"/>
    </row>
    <row r="16" spans="1:10" ht="28.8" x14ac:dyDescent="0.3">
      <c r="A16" s="10" t="s">
        <v>275</v>
      </c>
      <c r="B16" t="s">
        <v>1</v>
      </c>
      <c r="D16" s="8" t="s">
        <v>26</v>
      </c>
      <c r="E16" s="13"/>
    </row>
    <row r="17" spans="1:4" x14ac:dyDescent="0.3">
      <c r="A17" s="40" t="s">
        <v>99</v>
      </c>
      <c r="B17" s="5"/>
    </row>
    <row r="18" spans="1:4" x14ac:dyDescent="0.3">
      <c r="A18" s="40" t="s">
        <v>95</v>
      </c>
      <c r="B18" s="5"/>
    </row>
    <row r="19" spans="1:4" x14ac:dyDescent="0.3">
      <c r="A19" s="40" t="s">
        <v>96</v>
      </c>
      <c r="B19" s="5"/>
    </row>
    <row r="20" spans="1:4" ht="28.8" x14ac:dyDescent="0.3">
      <c r="A20" s="40" t="s">
        <v>97</v>
      </c>
      <c r="B20" s="5"/>
    </row>
    <row r="21" spans="1:4" ht="20.100000000000001" customHeight="1" x14ac:dyDescent="0.3">
      <c r="A21" s="40" t="s">
        <v>98</v>
      </c>
      <c r="B21" s="5"/>
    </row>
    <row r="22" spans="1:4" x14ac:dyDescent="0.3">
      <c r="A22" s="16"/>
    </row>
    <row r="23" spans="1:4" x14ac:dyDescent="0.3">
      <c r="A23" s="1" t="s">
        <v>2</v>
      </c>
      <c r="D23" s="8" t="s">
        <v>3</v>
      </c>
    </row>
    <row r="24" spans="1:4" x14ac:dyDescent="0.3">
      <c r="A24" s="5"/>
      <c r="D24" s="9"/>
    </row>
    <row r="28" spans="1:4" x14ac:dyDescent="0.3">
      <c r="A28" s="16"/>
    </row>
    <row r="29" spans="1:4" x14ac:dyDescent="0.3">
      <c r="A29" s="16"/>
    </row>
    <row r="30" spans="1:4" x14ac:dyDescent="0.3">
      <c r="A30" s="16"/>
    </row>
    <row r="31" spans="1:4" x14ac:dyDescent="0.3">
      <c r="A31" s="16"/>
    </row>
    <row r="32" spans="1:4" x14ac:dyDescent="0.3">
      <c r="A32" s="16"/>
    </row>
    <row r="33" spans="1:1" x14ac:dyDescent="0.3">
      <c r="A33" s="16"/>
    </row>
    <row r="34" spans="1:1" x14ac:dyDescent="0.3">
      <c r="A34" s="16"/>
    </row>
    <row r="35" spans="1:1" x14ac:dyDescent="0.3">
      <c r="A35" s="16"/>
    </row>
    <row r="36" spans="1:1" x14ac:dyDescent="0.3">
      <c r="A36" s="16"/>
    </row>
    <row r="37" spans="1:1" x14ac:dyDescent="0.3">
      <c r="A37" s="16"/>
    </row>
    <row r="38" spans="1:1" x14ac:dyDescent="0.3">
      <c r="A38" s="16"/>
    </row>
    <row r="39" spans="1:1" x14ac:dyDescent="0.3">
      <c r="A39" s="16"/>
    </row>
  </sheetData>
  <sheetProtection sheet="1" objects="1" scenarios="1"/>
  <protectedRanges>
    <protectedRange sqref="A24" name="Comments"/>
    <protectedRange sqref="D24" name="Rating"/>
    <protectedRange sqref="E2" name="Reference_2_1_1"/>
    <protectedRange sqref="E7" name="Reference_2_1_1_1"/>
    <protectedRange sqref="E16" name="Reference_2_1_1_2"/>
    <protectedRange sqref="B2 B7 B16" name="Answers_1_1"/>
    <protectedRange sqref="B3:B6" name="Answers_1"/>
    <protectedRange sqref="B8" name="Answers_1_2"/>
    <protectedRange sqref="B9:B15" name="Answers_1_3"/>
    <protectedRange sqref="B17:B21" name="Answers_1_4"/>
  </protectedRanges>
  <dataValidations count="4">
    <dataValidation type="list" allowBlank="1" showInputMessage="1" showErrorMessage="1" sqref="D24" xr:uid="{8ABA9202-6BA1-401C-820D-00AA428BD185}">
      <formula1>"0,1,2,3,4,5"</formula1>
    </dataValidation>
    <dataValidation type="textLength" allowBlank="1" showInputMessage="1" showErrorMessage="1" sqref="A24" xr:uid="{B0337782-7E9A-49EF-A964-4A36C81AD8AF}">
      <formula1>0</formula1>
      <formula2>10000</formula2>
    </dataValidation>
    <dataValidation type="list" allowBlank="1" showInputMessage="1" showErrorMessage="1" sqref="B3:B6 B8:B15 B17:B21" xr:uid="{5821AE21-A19A-41B7-BFFD-4066D6C23B59}">
      <formula1>"Yes"</formula1>
    </dataValidation>
    <dataValidation type="list" allowBlank="1" showErrorMessage="1" prompt="Select the arrow to the right to activate the drop-down menu." sqref="B2 B7 B16" xr:uid="{7BF25F60-9FE9-4FF5-AD92-03A06B7C2F96}">
      <formula1>"Choose answer, Data not available/Not willing to share"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64D0F-2C1C-4A30-BCE4-464B92BADCFE}">
  <sheetPr codeName="Sheet23"/>
  <dimension ref="A1:E45"/>
  <sheetViews>
    <sheetView workbookViewId="0"/>
  </sheetViews>
  <sheetFormatPr defaultRowHeight="14.4" x14ac:dyDescent="0.3"/>
  <cols>
    <col min="1" max="1" width="105.21875" bestFit="1" customWidth="1"/>
    <col min="2" max="2" width="14.21875" bestFit="1" customWidth="1"/>
    <col min="4" max="4" width="10.21875" bestFit="1" customWidth="1"/>
    <col min="5" max="5" width="78.77734375" customWidth="1"/>
    <col min="8" max="8" width="29.21875" customWidth="1"/>
  </cols>
  <sheetData>
    <row r="1" spans="1:5" ht="18" x14ac:dyDescent="0.35">
      <c r="A1" s="41" t="s">
        <v>183</v>
      </c>
    </row>
    <row r="2" spans="1:5" ht="28.8" x14ac:dyDescent="0.3">
      <c r="A2" s="10" t="s">
        <v>276</v>
      </c>
      <c r="B2" t="s">
        <v>1</v>
      </c>
      <c r="D2" s="8" t="s">
        <v>26</v>
      </c>
      <c r="E2" s="13"/>
    </row>
    <row r="3" spans="1:5" x14ac:dyDescent="0.3">
      <c r="A3" s="14" t="s">
        <v>277</v>
      </c>
      <c r="B3" s="5"/>
    </row>
    <row r="4" spans="1:5" x14ac:dyDescent="0.3">
      <c r="A4" s="14" t="s">
        <v>100</v>
      </c>
      <c r="B4" s="5"/>
    </row>
    <row r="5" spans="1:5" x14ac:dyDescent="0.3">
      <c r="A5" s="14" t="s">
        <v>278</v>
      </c>
      <c r="B5" s="5"/>
    </row>
    <row r="6" spans="1:5" x14ac:dyDescent="0.3">
      <c r="A6" s="14" t="s">
        <v>101</v>
      </c>
      <c r="B6" s="5"/>
    </row>
    <row r="7" spans="1:5" ht="28.8" x14ac:dyDescent="0.3">
      <c r="A7" s="14" t="s">
        <v>102</v>
      </c>
      <c r="B7" s="5"/>
    </row>
    <row r="8" spans="1:5" ht="28.8" x14ac:dyDescent="0.3">
      <c r="A8" s="14" t="s">
        <v>103</v>
      </c>
      <c r="B8" s="5"/>
    </row>
    <row r="9" spans="1:5" ht="28.8" x14ac:dyDescent="0.3">
      <c r="A9" s="37" t="s">
        <v>279</v>
      </c>
      <c r="B9" t="s">
        <v>1</v>
      </c>
      <c r="D9" s="8" t="s">
        <v>26</v>
      </c>
      <c r="E9" s="13"/>
    </row>
    <row r="10" spans="1:5" x14ac:dyDescent="0.3">
      <c r="A10" s="14" t="s">
        <v>277</v>
      </c>
      <c r="B10" s="5"/>
    </row>
    <row r="11" spans="1:5" ht="28.8" x14ac:dyDescent="0.3">
      <c r="A11" s="14" t="s">
        <v>280</v>
      </c>
      <c r="B11" s="5"/>
    </row>
    <row r="12" spans="1:5" x14ac:dyDescent="0.3">
      <c r="A12" s="14" t="s">
        <v>104</v>
      </c>
      <c r="B12" s="5"/>
    </row>
    <row r="13" spans="1:5" x14ac:dyDescent="0.3">
      <c r="A13" s="14" t="s">
        <v>101</v>
      </c>
      <c r="B13" s="5"/>
    </row>
    <row r="14" spans="1:5" ht="28.8" x14ac:dyDescent="0.3">
      <c r="A14" s="14" t="s">
        <v>102</v>
      </c>
      <c r="B14" s="5"/>
    </row>
    <row r="15" spans="1:5" x14ac:dyDescent="0.3">
      <c r="A15" s="14" t="s">
        <v>105</v>
      </c>
      <c r="B15" s="5"/>
    </row>
    <row r="17" spans="1:4" ht="16.5" customHeight="1" x14ac:dyDescent="0.3">
      <c r="A17" s="1" t="s">
        <v>2</v>
      </c>
      <c r="D17" s="8" t="s">
        <v>3</v>
      </c>
    </row>
    <row r="18" spans="1:4" x14ac:dyDescent="0.3">
      <c r="A18" s="5"/>
      <c r="D18" s="9"/>
    </row>
    <row r="19" spans="1:4" x14ac:dyDescent="0.3">
      <c r="A19" s="42"/>
    </row>
    <row r="20" spans="1:4" x14ac:dyDescent="0.3">
      <c r="A20" s="42"/>
    </row>
    <row r="21" spans="1:4" x14ac:dyDescent="0.3">
      <c r="A21" s="42"/>
    </row>
    <row r="22" spans="1:4" x14ac:dyDescent="0.3">
      <c r="A22" s="42"/>
    </row>
    <row r="23" spans="1:4" x14ac:dyDescent="0.3">
      <c r="A23" s="42"/>
    </row>
    <row r="24" spans="1:4" x14ac:dyDescent="0.3">
      <c r="A24" s="42"/>
    </row>
    <row r="25" spans="1:4" ht="15" customHeight="1" x14ac:dyDescent="0.3">
      <c r="A25" s="42"/>
    </row>
    <row r="26" spans="1:4" x14ac:dyDescent="0.3">
      <c r="A26" s="42"/>
    </row>
    <row r="27" spans="1:4" x14ac:dyDescent="0.3">
      <c r="A27" s="42"/>
    </row>
    <row r="28" spans="1:4" x14ac:dyDescent="0.3">
      <c r="A28" s="42"/>
    </row>
    <row r="29" spans="1:4" x14ac:dyDescent="0.3">
      <c r="A29" s="42"/>
    </row>
    <row r="30" spans="1:4" x14ac:dyDescent="0.3">
      <c r="A30" s="42"/>
    </row>
    <row r="31" spans="1:4" x14ac:dyDescent="0.3">
      <c r="A31" s="42"/>
    </row>
    <row r="32" spans="1:4" x14ac:dyDescent="0.3">
      <c r="A32" s="42"/>
    </row>
    <row r="33" spans="1:1" x14ac:dyDescent="0.3">
      <c r="A33" s="42"/>
    </row>
    <row r="34" spans="1:1" x14ac:dyDescent="0.3">
      <c r="A34" s="42"/>
    </row>
    <row r="35" spans="1:1" x14ac:dyDescent="0.3">
      <c r="A35" s="42"/>
    </row>
    <row r="36" spans="1:1" x14ac:dyDescent="0.3">
      <c r="A36" s="42"/>
    </row>
    <row r="37" spans="1:1" x14ac:dyDescent="0.3">
      <c r="A37" s="42"/>
    </row>
    <row r="38" spans="1:1" x14ac:dyDescent="0.3">
      <c r="A38" s="42"/>
    </row>
    <row r="39" spans="1:1" x14ac:dyDescent="0.3">
      <c r="A39" s="42"/>
    </row>
    <row r="40" spans="1:1" x14ac:dyDescent="0.3">
      <c r="A40" s="42"/>
    </row>
    <row r="41" spans="1:1" x14ac:dyDescent="0.3">
      <c r="A41" s="42"/>
    </row>
    <row r="42" spans="1:1" x14ac:dyDescent="0.3">
      <c r="A42" s="42"/>
    </row>
    <row r="43" spans="1:1" x14ac:dyDescent="0.3">
      <c r="A43" s="42"/>
    </row>
    <row r="44" spans="1:1" x14ac:dyDescent="0.3">
      <c r="A44" s="42"/>
    </row>
    <row r="45" spans="1:1" x14ac:dyDescent="0.3">
      <c r="A45" s="42"/>
    </row>
  </sheetData>
  <sheetProtection sheet="1" objects="1" scenarios="1"/>
  <protectedRanges>
    <protectedRange sqref="A18" name="Comments"/>
    <protectedRange sqref="D18" name="Rating_1"/>
    <protectedRange sqref="E9" name="Reference_2_1_1"/>
    <protectedRange sqref="E2" name="Reference_2_1_1_1"/>
    <protectedRange sqref="B2 B9" name="Answers_1_1"/>
    <protectedRange sqref="B3:B8 B10:B16" name="Answers_1"/>
  </protectedRanges>
  <dataValidations count="4">
    <dataValidation type="list" allowBlank="1" showInputMessage="1" showErrorMessage="1" sqref="D18" xr:uid="{86DBF455-6A61-40B3-874F-21A92EF40A9B}">
      <formula1>"0,1,2,3,4,5"</formula1>
    </dataValidation>
    <dataValidation type="textLength" allowBlank="1" showInputMessage="1" showErrorMessage="1" sqref="A18" xr:uid="{81C0F709-6489-473F-978F-9195B0830B11}">
      <formula1>0</formula1>
      <formula2>10000</formula2>
    </dataValidation>
    <dataValidation type="list" allowBlank="1" showInputMessage="1" showErrorMessage="1" sqref="B3:B8 B10:B15" xr:uid="{7C3D0411-3057-4C9E-8374-2759975CEA25}">
      <formula1>"Yes"</formula1>
    </dataValidation>
    <dataValidation type="list" allowBlank="1" showErrorMessage="1" prompt="Select the arrow to the right to activate the drop-down menu." sqref="B2 B9" xr:uid="{BE125BC2-A148-42F4-9C57-2687AFF15F44}">
      <formula1>"Choose answer, Data not available/Not willing to share"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4B892-0CEE-489C-830E-1984B146E7DE}">
  <sheetPr codeName="Sheet24"/>
  <dimension ref="A1:E31"/>
  <sheetViews>
    <sheetView workbookViewId="0"/>
  </sheetViews>
  <sheetFormatPr defaultRowHeight="14.4" x14ac:dyDescent="0.3"/>
  <cols>
    <col min="1" max="1" width="81.5546875" customWidth="1"/>
    <col min="2" max="2" width="24.44140625" customWidth="1"/>
    <col min="4" max="4" width="10.21875" bestFit="1" customWidth="1"/>
    <col min="5" max="5" width="105.21875" customWidth="1"/>
  </cols>
  <sheetData>
    <row r="1" spans="1:5" ht="18" x14ac:dyDescent="0.35">
      <c r="A1" s="41" t="s">
        <v>184</v>
      </c>
    </row>
    <row r="2" spans="1:5" ht="28.8" x14ac:dyDescent="0.3">
      <c r="A2" s="10" t="s">
        <v>333</v>
      </c>
      <c r="B2" t="s">
        <v>1</v>
      </c>
      <c r="D2" s="8" t="s">
        <v>26</v>
      </c>
      <c r="E2" s="13"/>
    </row>
    <row r="3" spans="1:5" x14ac:dyDescent="0.3">
      <c r="A3" s="12"/>
      <c r="B3" s="5"/>
    </row>
    <row r="4" spans="1:5" ht="28.8" x14ac:dyDescent="0.3">
      <c r="A4" s="10" t="s">
        <v>376</v>
      </c>
      <c r="B4" t="s">
        <v>1</v>
      </c>
      <c r="D4" s="8" t="s">
        <v>26</v>
      </c>
      <c r="E4" s="13"/>
    </row>
    <row r="5" spans="1:5" x14ac:dyDescent="0.3">
      <c r="A5" s="12"/>
      <c r="B5" s="5"/>
    </row>
    <row r="6" spans="1:5" ht="28.8" x14ac:dyDescent="0.3">
      <c r="A6" s="37" t="s">
        <v>334</v>
      </c>
      <c r="B6" t="s">
        <v>1</v>
      </c>
      <c r="D6" s="8" t="s">
        <v>26</v>
      </c>
      <c r="E6" s="13"/>
    </row>
    <row r="7" spans="1:5" x14ac:dyDescent="0.3">
      <c r="A7" s="12" t="s">
        <v>335</v>
      </c>
      <c r="B7" s="5"/>
    </row>
    <row r="8" spans="1:5" ht="28.8" x14ac:dyDescent="0.3">
      <c r="A8" s="12" t="s">
        <v>106</v>
      </c>
      <c r="B8" s="5"/>
    </row>
    <row r="9" spans="1:5" ht="86.4" x14ac:dyDescent="0.3">
      <c r="A9" s="12" t="s">
        <v>107</v>
      </c>
      <c r="B9" s="5"/>
    </row>
    <row r="10" spans="1:5" ht="28.8" x14ac:dyDescent="0.3">
      <c r="A10" s="12" t="s">
        <v>108</v>
      </c>
      <c r="B10" s="5"/>
    </row>
    <row r="11" spans="1:5" ht="28.8" x14ac:dyDescent="0.3">
      <c r="A11" s="12" t="s">
        <v>109</v>
      </c>
      <c r="B11" s="5"/>
    </row>
    <row r="12" spans="1:5" x14ac:dyDescent="0.3">
      <c r="A12" s="12" t="s">
        <v>110</v>
      </c>
      <c r="B12" s="5"/>
    </row>
    <row r="13" spans="1:5" ht="43.2" x14ac:dyDescent="0.3">
      <c r="A13" s="37" t="s">
        <v>336</v>
      </c>
      <c r="B13" t="s">
        <v>1</v>
      </c>
      <c r="D13" s="8" t="s">
        <v>26</v>
      </c>
      <c r="E13" s="13"/>
    </row>
    <row r="14" spans="1:5" x14ac:dyDescent="0.3">
      <c r="A14" s="43" t="s">
        <v>277</v>
      </c>
      <c r="B14" s="5"/>
    </row>
    <row r="15" spans="1:5" ht="28.8" x14ac:dyDescent="0.3">
      <c r="A15" s="43" t="s">
        <v>111</v>
      </c>
      <c r="B15" s="5"/>
    </row>
    <row r="16" spans="1:5" ht="28.8" x14ac:dyDescent="0.3">
      <c r="A16" s="43" t="s">
        <v>112</v>
      </c>
      <c r="B16" s="5"/>
    </row>
    <row r="17" spans="1:4" x14ac:dyDescent="0.3">
      <c r="A17" s="43" t="s">
        <v>113</v>
      </c>
      <c r="B17" s="5"/>
    </row>
    <row r="18" spans="1:4" x14ac:dyDescent="0.3">
      <c r="A18" s="44"/>
    </row>
    <row r="19" spans="1:4" x14ac:dyDescent="0.3">
      <c r="A19" s="1" t="s">
        <v>2</v>
      </c>
      <c r="D19" s="8" t="s">
        <v>3</v>
      </c>
    </row>
    <row r="20" spans="1:4" x14ac:dyDescent="0.3">
      <c r="A20" s="5"/>
      <c r="D20" s="9"/>
    </row>
    <row r="21" spans="1:4" x14ac:dyDescent="0.3">
      <c r="A21" s="44"/>
    </row>
    <row r="22" spans="1:4" x14ac:dyDescent="0.3">
      <c r="A22" s="44"/>
    </row>
    <row r="23" spans="1:4" x14ac:dyDescent="0.3">
      <c r="A23" s="44"/>
    </row>
    <row r="24" spans="1:4" x14ac:dyDescent="0.3">
      <c r="A24" s="44"/>
    </row>
    <row r="25" spans="1:4" x14ac:dyDescent="0.3">
      <c r="A25" s="44"/>
    </row>
    <row r="26" spans="1:4" x14ac:dyDescent="0.3">
      <c r="A26" s="44"/>
    </row>
    <row r="30" spans="1:4" x14ac:dyDescent="0.3">
      <c r="A30" s="44"/>
    </row>
    <row r="31" spans="1:4" x14ac:dyDescent="0.3">
      <c r="A31" s="44"/>
    </row>
  </sheetData>
  <sheetProtection sheet="1" objects="1" scenarios="1"/>
  <protectedRanges>
    <protectedRange sqref="A20" name="Comments"/>
    <protectedRange sqref="D20" name="Rating"/>
    <protectedRange sqref="E6" name="Reference_2_1_1"/>
    <protectedRange sqref="E13" name="Reference_2_1_1_1"/>
    <protectedRange sqref="E2 E4" name="Reference_2_1_1_2"/>
    <protectedRange sqref="B2 B6 B13 B4" name="Answers_1_1"/>
    <protectedRange sqref="B14:B17 B7:B12 B3 B5" name="Answers_1"/>
  </protectedRanges>
  <dataValidations count="4">
    <dataValidation type="list" allowBlank="1" showInputMessage="1" showErrorMessage="1" sqref="D20" xr:uid="{6230B193-B6D8-4CF0-A8F5-66A3138EE2D9}">
      <formula1>"0,1,2,3,4,5"</formula1>
    </dataValidation>
    <dataValidation type="textLength" allowBlank="1" showInputMessage="1" showErrorMessage="1" sqref="A20" xr:uid="{6B4485D9-1F66-4452-AD17-391027FE0311}">
      <formula1>0</formula1>
      <formula2>10000</formula2>
    </dataValidation>
    <dataValidation type="list" allowBlank="1" showInputMessage="1" showErrorMessage="1" sqref="B14:B17 B7:B12" xr:uid="{EC3F546B-0DAC-47FA-B679-7878C1B119E9}">
      <formula1>"Yes"</formula1>
    </dataValidation>
    <dataValidation type="list" allowBlank="1" showErrorMessage="1" prompt="Select the arrow to the right to activate the drop-down menu." sqref="B2 B6 B13 B4" xr:uid="{946FC748-6ED7-4123-982F-9BE73388D01C}">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ErrorMessage="1" xr:uid="{19F11B7E-3BAF-42BA-A22A-21539E9869CE}">
          <x14:formula1>
            <xm:f>'41-ranges'!$A$1:$A$4</xm:f>
          </x14:formula1>
          <xm:sqref>B3</xm:sqref>
        </x14:dataValidation>
        <x14:dataValidation type="list" allowBlank="1" showErrorMessage="1" xr:uid="{D94559A0-5E09-4FEB-971D-561A71E7C0EC}">
          <x14:formula1>
            <xm:f>'41-ranges'!$A$7:$A$10</xm:f>
          </x14:formula1>
          <xm:sqref>B5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897EC-8F49-49D6-A3A5-E9A7CA0ECACC}">
  <sheetPr codeName="Sheet46"/>
  <dimension ref="A1:A10"/>
  <sheetViews>
    <sheetView workbookViewId="0">
      <selection activeCell="A7" sqref="A7:A10"/>
    </sheetView>
  </sheetViews>
  <sheetFormatPr defaultRowHeight="14.4" x14ac:dyDescent="0.3"/>
  <sheetData>
    <row r="1" spans="1:1" x14ac:dyDescent="0.3">
      <c r="A1" t="s">
        <v>329</v>
      </c>
    </row>
    <row r="2" spans="1:1" x14ac:dyDescent="0.3">
      <c r="A2" t="s">
        <v>330</v>
      </c>
    </row>
    <row r="3" spans="1:1" x14ac:dyDescent="0.3">
      <c r="A3" t="s">
        <v>331</v>
      </c>
    </row>
    <row r="4" spans="1:1" x14ac:dyDescent="0.3">
      <c r="A4" t="s">
        <v>332</v>
      </c>
    </row>
    <row r="7" spans="1:1" x14ac:dyDescent="0.3">
      <c r="A7" t="s">
        <v>377</v>
      </c>
    </row>
    <row r="8" spans="1:1" x14ac:dyDescent="0.3">
      <c r="A8" t="s">
        <v>378</v>
      </c>
    </row>
    <row r="9" spans="1:1" x14ac:dyDescent="0.3">
      <c r="A9" t="s">
        <v>379</v>
      </c>
    </row>
    <row r="10" spans="1:1" x14ac:dyDescent="0.3">
      <c r="A10" t="s">
        <v>380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36A4C-0D91-451B-A341-2517D2F5D282}">
  <sheetPr codeName="Sheet25"/>
  <dimension ref="A1:F41"/>
  <sheetViews>
    <sheetView topLeftCell="A7" workbookViewId="0"/>
  </sheetViews>
  <sheetFormatPr defaultRowHeight="14.4" x14ac:dyDescent="0.3"/>
  <cols>
    <col min="1" max="1" width="94.21875" customWidth="1"/>
    <col min="2" max="2" width="94.21875" hidden="1" customWidth="1"/>
    <col min="3" max="3" width="25" customWidth="1"/>
    <col min="5" max="5" width="10.21875" bestFit="1" customWidth="1"/>
    <col min="6" max="6" width="97.5546875" customWidth="1"/>
  </cols>
  <sheetData>
    <row r="1" spans="1:6" ht="18" x14ac:dyDescent="0.35">
      <c r="A1" s="41" t="s">
        <v>185</v>
      </c>
      <c r="B1" s="41"/>
    </row>
    <row r="2" spans="1:6" ht="28.8" x14ac:dyDescent="0.3">
      <c r="A2" s="10" t="s">
        <v>281</v>
      </c>
      <c r="B2" s="10"/>
      <c r="C2" t="s">
        <v>1</v>
      </c>
      <c r="E2" s="8" t="s">
        <v>26</v>
      </c>
      <c r="F2" s="13"/>
    </row>
    <row r="3" spans="1:6" x14ac:dyDescent="0.3">
      <c r="A3" s="11" t="s">
        <v>282</v>
      </c>
      <c r="B3" s="11" t="s">
        <v>282</v>
      </c>
      <c r="C3" s="5"/>
    </row>
    <row r="4" spans="1:6" x14ac:dyDescent="0.3">
      <c r="A4" s="12" t="s">
        <v>283</v>
      </c>
      <c r="B4" s="12" t="s">
        <v>283</v>
      </c>
      <c r="C4" s="5"/>
    </row>
    <row r="5" spans="1:6" ht="28.8" x14ac:dyDescent="0.3">
      <c r="A5" s="12" t="s">
        <v>284</v>
      </c>
      <c r="B5" s="12" t="s">
        <v>284</v>
      </c>
      <c r="C5" s="5"/>
    </row>
    <row r="6" spans="1:6" ht="28.8" x14ac:dyDescent="0.3">
      <c r="A6" s="12" t="s">
        <v>114</v>
      </c>
      <c r="B6" s="12" t="s">
        <v>114</v>
      </c>
      <c r="C6" s="5"/>
    </row>
    <row r="7" spans="1:6" ht="28.8" x14ac:dyDescent="0.3">
      <c r="A7" s="37" t="s">
        <v>285</v>
      </c>
      <c r="B7" s="37"/>
      <c r="C7" t="s">
        <v>1</v>
      </c>
      <c r="E7" s="8" t="s">
        <v>26</v>
      </c>
      <c r="F7" s="13"/>
    </row>
    <row r="8" spans="1:6" x14ac:dyDescent="0.3">
      <c r="A8" s="52" t="s">
        <v>115</v>
      </c>
      <c r="B8" s="52" t="s">
        <v>115</v>
      </c>
      <c r="C8" s="5"/>
    </row>
    <row r="9" spans="1:6" x14ac:dyDescent="0.3">
      <c r="A9" s="52" t="s">
        <v>116</v>
      </c>
      <c r="B9" s="52" t="s">
        <v>116</v>
      </c>
      <c r="C9" s="5"/>
    </row>
    <row r="10" spans="1:6" ht="28.8" x14ac:dyDescent="0.3">
      <c r="A10" s="52" t="s">
        <v>286</v>
      </c>
      <c r="B10" s="52" t="s">
        <v>286</v>
      </c>
      <c r="C10" s="5"/>
    </row>
    <row r="11" spans="1:6" ht="57.6" x14ac:dyDescent="0.3">
      <c r="A11" s="52" t="s">
        <v>117</v>
      </c>
      <c r="B11" s="52" t="str">
        <f>LEFT(A11,255)</f>
        <v>Inter-institutional framework and cooperation mechanisms between all relevant stakeholders (e.g. LEA, national CSIRT, judiciary communities) have been established, including private sector (e.g. operators of essential services, service providers) where ap</v>
      </c>
      <c r="C11" s="5"/>
    </row>
    <row r="12" spans="1:6" ht="28.8" x14ac:dyDescent="0.3">
      <c r="A12" s="52" t="s">
        <v>287</v>
      </c>
      <c r="B12" s="52" t="s">
        <v>287</v>
      </c>
      <c r="C12" s="5"/>
    </row>
    <row r="13" spans="1:6" ht="28.8" x14ac:dyDescent="0.3">
      <c r="A13" s="52" t="s">
        <v>288</v>
      </c>
      <c r="B13" s="52" t="s">
        <v>288</v>
      </c>
      <c r="C13" s="5"/>
    </row>
    <row r="14" spans="1:6" ht="28.8" x14ac:dyDescent="0.3">
      <c r="A14" s="37" t="s">
        <v>289</v>
      </c>
      <c r="B14" s="37"/>
      <c r="C14" t="s">
        <v>1</v>
      </c>
      <c r="E14" s="8" t="s">
        <v>26</v>
      </c>
      <c r="F14" s="13"/>
    </row>
    <row r="15" spans="1:6" x14ac:dyDescent="0.3">
      <c r="A15" s="52" t="s">
        <v>118</v>
      </c>
      <c r="B15" s="52" t="s">
        <v>118</v>
      </c>
      <c r="C15" s="5"/>
    </row>
    <row r="16" spans="1:6" ht="16.5" customHeight="1" x14ac:dyDescent="0.3">
      <c r="A16" s="52" t="s">
        <v>119</v>
      </c>
      <c r="B16" s="52" t="s">
        <v>119</v>
      </c>
      <c r="C16" s="5"/>
    </row>
    <row r="17" spans="1:5" x14ac:dyDescent="0.3">
      <c r="A17" s="52" t="s">
        <v>120</v>
      </c>
      <c r="B17" s="52" t="s">
        <v>120</v>
      </c>
      <c r="C17" s="5"/>
    </row>
    <row r="18" spans="1:5" ht="28.8" x14ac:dyDescent="0.3">
      <c r="A18" s="52" t="s">
        <v>290</v>
      </c>
      <c r="B18" s="52" t="s">
        <v>290</v>
      </c>
      <c r="C18" s="5"/>
    </row>
    <row r="19" spans="1:5" x14ac:dyDescent="0.3">
      <c r="A19" s="42"/>
      <c r="B19" s="42"/>
    </row>
    <row r="20" spans="1:5" x14ac:dyDescent="0.3">
      <c r="A20" s="1" t="s">
        <v>2</v>
      </c>
      <c r="B20" s="1"/>
      <c r="E20" s="8" t="s">
        <v>3</v>
      </c>
    </row>
    <row r="21" spans="1:5" x14ac:dyDescent="0.3">
      <c r="A21" s="5"/>
      <c r="B21" s="55"/>
      <c r="E21" s="9"/>
    </row>
    <row r="22" spans="1:5" x14ac:dyDescent="0.3">
      <c r="A22" s="42"/>
      <c r="B22" s="42"/>
    </row>
    <row r="23" spans="1:5" x14ac:dyDescent="0.3">
      <c r="A23" s="42"/>
      <c r="B23" s="42"/>
    </row>
    <row r="24" spans="1:5" x14ac:dyDescent="0.3">
      <c r="A24" s="42"/>
      <c r="B24" s="42"/>
    </row>
    <row r="25" spans="1:5" x14ac:dyDescent="0.3">
      <c r="A25" s="42"/>
      <c r="B25" s="42"/>
    </row>
    <row r="26" spans="1:5" x14ac:dyDescent="0.3">
      <c r="A26" s="42"/>
      <c r="B26" s="42"/>
    </row>
    <row r="27" spans="1:5" x14ac:dyDescent="0.3">
      <c r="A27" s="42"/>
      <c r="B27" s="42"/>
    </row>
    <row r="28" spans="1:5" x14ac:dyDescent="0.3">
      <c r="A28" s="42"/>
      <c r="B28" s="42"/>
    </row>
    <row r="29" spans="1:5" x14ac:dyDescent="0.3">
      <c r="A29" s="42"/>
      <c r="B29" s="42"/>
    </row>
    <row r="30" spans="1:5" x14ac:dyDescent="0.3">
      <c r="A30" s="42"/>
      <c r="B30" s="42"/>
    </row>
    <row r="31" spans="1:5" x14ac:dyDescent="0.3">
      <c r="A31" s="42"/>
      <c r="B31" s="42"/>
    </row>
    <row r="32" spans="1:5" x14ac:dyDescent="0.3">
      <c r="A32" s="42"/>
      <c r="B32" s="42"/>
    </row>
    <row r="33" spans="1:2" x14ac:dyDescent="0.3">
      <c r="A33" s="42"/>
      <c r="B33" s="42"/>
    </row>
    <row r="34" spans="1:2" x14ac:dyDescent="0.3">
      <c r="A34" s="42"/>
      <c r="B34" s="42"/>
    </row>
    <row r="35" spans="1:2" x14ac:dyDescent="0.3">
      <c r="A35" s="42"/>
      <c r="B35" s="42"/>
    </row>
    <row r="36" spans="1:2" x14ac:dyDescent="0.3">
      <c r="A36" s="42"/>
      <c r="B36" s="42"/>
    </row>
    <row r="37" spans="1:2" x14ac:dyDescent="0.3">
      <c r="A37" s="42"/>
      <c r="B37" s="42"/>
    </row>
    <row r="38" spans="1:2" x14ac:dyDescent="0.3">
      <c r="A38" s="42"/>
      <c r="B38" s="42"/>
    </row>
    <row r="39" spans="1:2" x14ac:dyDescent="0.3">
      <c r="A39" s="42"/>
      <c r="B39" s="42"/>
    </row>
    <row r="40" spans="1:2" x14ac:dyDescent="0.3">
      <c r="A40" s="42"/>
      <c r="B40" s="42"/>
    </row>
    <row r="41" spans="1:2" x14ac:dyDescent="0.3">
      <c r="A41" s="42"/>
      <c r="B41" s="42"/>
    </row>
  </sheetData>
  <sheetProtection sheet="1" objects="1" scenarios="1"/>
  <protectedRanges>
    <protectedRange sqref="A21:B21" name="Comments"/>
    <protectedRange sqref="E21" name="Rating"/>
    <protectedRange sqref="F14" name="Reference_2_1_1"/>
    <protectedRange sqref="F7" name="Reference_2_1_1_1"/>
    <protectedRange sqref="F2" name="Reference_2_1_1_2"/>
    <protectedRange sqref="C2 C7 C14" name="Answers_1_1"/>
    <protectedRange sqref="C3:C6 C15:C18 C8:C13" name="Answers_1"/>
  </protectedRanges>
  <dataValidations count="4">
    <dataValidation type="list" allowBlank="1" showInputMessage="1" showErrorMessage="1" sqref="E21" xr:uid="{8FCBEF9E-8CF4-46B6-9393-BF44661B4DCB}">
      <formula1>"0,1,2,3,4,5"</formula1>
    </dataValidation>
    <dataValidation type="textLength" allowBlank="1" showInputMessage="1" showErrorMessage="1" sqref="A21:B21" xr:uid="{A717F495-A4AC-4AE7-B9EC-04E246497185}">
      <formula1>0</formula1>
      <formula2>10000</formula2>
    </dataValidation>
    <dataValidation type="list" allowBlank="1" showInputMessage="1" showErrorMessage="1" sqref="C3:C6 C8:C13 C15:C18" xr:uid="{F08460E7-04A3-4CB8-B836-DCED2221838C}">
      <formula1>"Yes"</formula1>
    </dataValidation>
    <dataValidation type="list" allowBlank="1" showErrorMessage="1" prompt="Select the arrow to the right to activate the drop-down menu." sqref="C2 C7 C14" xr:uid="{E9C272FA-4D6F-4D83-8006-27F8210910F2}">
      <formula1>"Choose answer, Data not available/Not willing to share"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0E379-EC64-482E-A5E7-D9033D3ED343}">
  <sheetPr codeName="Sheet26"/>
  <dimension ref="A1:E28"/>
  <sheetViews>
    <sheetView workbookViewId="0"/>
  </sheetViews>
  <sheetFormatPr defaultRowHeight="14.4" x14ac:dyDescent="0.3"/>
  <cols>
    <col min="1" max="1" width="75.21875" customWidth="1"/>
    <col min="2" max="2" width="21.5546875" customWidth="1"/>
    <col min="4" max="4" width="10.21875" bestFit="1" customWidth="1"/>
    <col min="5" max="5" width="83" customWidth="1"/>
  </cols>
  <sheetData>
    <row r="1" spans="1:5" ht="18" x14ac:dyDescent="0.35">
      <c r="A1" s="41" t="s">
        <v>186</v>
      </c>
    </row>
    <row r="2" spans="1:5" ht="28.8" x14ac:dyDescent="0.3">
      <c r="A2" s="10" t="s">
        <v>337</v>
      </c>
      <c r="B2" t="s">
        <v>1</v>
      </c>
      <c r="D2" s="8" t="s">
        <v>26</v>
      </c>
      <c r="E2" s="13"/>
    </row>
    <row r="3" spans="1:5" x14ac:dyDescent="0.3">
      <c r="A3" s="12" t="s">
        <v>121</v>
      </c>
      <c r="B3" s="5"/>
    </row>
    <row r="4" spans="1:5" ht="28.8" x14ac:dyDescent="0.3">
      <c r="A4" s="12" t="s">
        <v>122</v>
      </c>
      <c r="B4" s="5"/>
    </row>
    <row r="5" spans="1:5" x14ac:dyDescent="0.3">
      <c r="A5" s="12" t="s">
        <v>123</v>
      </c>
      <c r="B5" s="5"/>
    </row>
    <row r="6" spans="1:5" ht="43.2" x14ac:dyDescent="0.3">
      <c r="A6" s="12" t="s">
        <v>338</v>
      </c>
      <c r="B6" s="5"/>
    </row>
    <row r="7" spans="1:5" ht="28.8" x14ac:dyDescent="0.3">
      <c r="A7" s="12" t="s">
        <v>124</v>
      </c>
      <c r="B7" s="5"/>
    </row>
    <row r="8" spans="1:5" x14ac:dyDescent="0.3">
      <c r="A8" s="37" t="s">
        <v>125</v>
      </c>
      <c r="B8" t="s">
        <v>1</v>
      </c>
      <c r="D8" s="8" t="s">
        <v>26</v>
      </c>
      <c r="E8" s="13"/>
    </row>
    <row r="9" spans="1:5" x14ac:dyDescent="0.3">
      <c r="A9" s="12"/>
      <c r="B9" s="15"/>
    </row>
    <row r="11" spans="1:5" x14ac:dyDescent="0.3">
      <c r="A11" s="1" t="s">
        <v>2</v>
      </c>
      <c r="D11" s="8" t="s">
        <v>3</v>
      </c>
    </row>
    <row r="12" spans="1:5" x14ac:dyDescent="0.3">
      <c r="A12" s="5"/>
      <c r="D12" s="9"/>
    </row>
    <row r="13" spans="1:5" ht="20.100000000000001" customHeight="1" x14ac:dyDescent="0.3"/>
    <row r="15" spans="1:5" ht="15" customHeight="1" x14ac:dyDescent="0.3"/>
    <row r="27" spans="1:1" x14ac:dyDescent="0.3">
      <c r="A27" s="44"/>
    </row>
    <row r="28" spans="1:1" x14ac:dyDescent="0.3">
      <c r="A28" s="44"/>
    </row>
  </sheetData>
  <sheetProtection sheet="1" objects="1" scenarios="1"/>
  <protectedRanges>
    <protectedRange sqref="B2 B8" name="Choice"/>
    <protectedRange sqref="B9" name="Answers_224_1"/>
    <protectedRange sqref="B3:B7" name="Answers_1"/>
    <protectedRange sqref="E8" name="Reference_2_1_1_1"/>
    <protectedRange sqref="E2" name="Reference_2_1_1"/>
    <protectedRange sqref="D12" name="Rating"/>
  </protectedRanges>
  <dataValidations count="4">
    <dataValidation type="list" allowBlank="1" showInputMessage="1" showErrorMessage="1" sqref="D12" xr:uid="{84B2A1A9-FAD3-497B-9849-D0138423C57B}">
      <formula1>"0,1,2,3,4,5"</formula1>
    </dataValidation>
    <dataValidation type="textLength" allowBlank="1" showInputMessage="1" showErrorMessage="1" sqref="A12" xr:uid="{5BCF9B81-3D3E-4522-B047-D9C4F97CB2EF}">
      <formula1>0</formula1>
      <formula2>10000</formula2>
    </dataValidation>
    <dataValidation type="list" allowBlank="1" showInputMessage="1" showErrorMessage="1" sqref="B3:B7" xr:uid="{25AD7FFB-2A5D-48ED-9935-E0042B8796E0}">
      <formula1>"Yes"</formula1>
    </dataValidation>
    <dataValidation type="list" allowBlank="1" showErrorMessage="1" prompt="Select the arrow to the right to activate the drop-down menu." sqref="B2 B8" xr:uid="{CEA023E4-71C7-4937-8AA7-6B2C3C9D8EB5}">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Select the arrow to the right to activate the drop-down menu." xr:uid="{D7F562CF-F889-4808-9BCE-B3BA3FC15F79}">
          <x14:formula1>
            <xm:f>'43-ranges'!$A$1:$A$3</xm:f>
          </x14:formula1>
          <xm:sqref>B9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C9D7-DA26-448B-A0D1-F20246FECCE5}">
  <sheetPr codeName="Sheet45"/>
  <dimension ref="A1:A3"/>
  <sheetViews>
    <sheetView workbookViewId="0">
      <selection sqref="A1:A3"/>
    </sheetView>
  </sheetViews>
  <sheetFormatPr defaultRowHeight="14.4" x14ac:dyDescent="0.3"/>
  <sheetData>
    <row r="1" spans="1:1" x14ac:dyDescent="0.3">
      <c r="A1" t="s">
        <v>39</v>
      </c>
    </row>
    <row r="2" spans="1:1" x14ac:dyDescent="0.3">
      <c r="A2" t="s">
        <v>126</v>
      </c>
    </row>
    <row r="3" spans="1:1" x14ac:dyDescent="0.3">
      <c r="A3"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AD2D2-3D7F-4DBF-A973-675591AADE6C}">
  <sheetPr codeName="Sheet14"/>
  <dimension ref="A1:D9"/>
  <sheetViews>
    <sheetView workbookViewId="0"/>
  </sheetViews>
  <sheetFormatPr defaultRowHeight="14.4" x14ac:dyDescent="0.3"/>
  <cols>
    <col min="1" max="1" width="77.77734375" customWidth="1"/>
    <col min="2" max="2" width="28.5546875" customWidth="1"/>
    <col min="3" max="3" width="35.21875" customWidth="1"/>
    <col min="4" max="4" width="103.21875" customWidth="1"/>
  </cols>
  <sheetData>
    <row r="1" spans="1:4" ht="69.599999999999994" customHeight="1" x14ac:dyDescent="0.3">
      <c r="A1" s="2" t="s">
        <v>45</v>
      </c>
    </row>
    <row r="2" spans="1:4" ht="28.8" x14ac:dyDescent="0.3">
      <c r="A2" s="10" t="s">
        <v>339</v>
      </c>
      <c r="B2" t="s">
        <v>1</v>
      </c>
      <c r="C2" s="8" t="s">
        <v>26</v>
      </c>
      <c r="D2" s="13"/>
    </row>
    <row r="3" spans="1:4" x14ac:dyDescent="0.3">
      <c r="B3" s="15"/>
    </row>
    <row r="5" spans="1:4" ht="28.8" x14ac:dyDescent="0.3">
      <c r="A5" s="10" t="s">
        <v>340</v>
      </c>
      <c r="B5" t="s">
        <v>1</v>
      </c>
      <c r="C5" s="8" t="s">
        <v>26</v>
      </c>
      <c r="D5" s="13"/>
    </row>
    <row r="6" spans="1:4" x14ac:dyDescent="0.3">
      <c r="B6" s="15"/>
    </row>
    <row r="8" spans="1:4" x14ac:dyDescent="0.3">
      <c r="A8" s="1" t="s">
        <v>2</v>
      </c>
      <c r="D8" s="8" t="s">
        <v>3</v>
      </c>
    </row>
    <row r="9" spans="1:4" x14ac:dyDescent="0.3">
      <c r="A9" s="5"/>
      <c r="D9" s="9">
        <v>1</v>
      </c>
    </row>
  </sheetData>
  <sheetProtection sheet="1" objects="1" scenarios="1"/>
  <protectedRanges>
    <protectedRange sqref="D2 D5" name="Reference_2_1"/>
    <protectedRange sqref="A9" name="Comments"/>
    <protectedRange sqref="D9" name="Rating"/>
    <protectedRange sqref="B3 B6" name="Answers_224"/>
    <protectedRange sqref="B2 B5" name="Answers_1_1"/>
  </protectedRanges>
  <dataValidations count="4">
    <dataValidation type="list" allowBlank="1" showInputMessage="1" showErrorMessage="1" prompt="Select the arrow to the right to activate the drop-down menu." sqref="B6" xr:uid="{31F5BE72-405D-4BEA-B376-B64B6EAD5F17}">
      <formula1>"0-20%, 21-40%, 41-60%, 61-80%, 81-100%"</formula1>
    </dataValidation>
    <dataValidation type="list" allowBlank="1" showInputMessage="1" showErrorMessage="1" sqref="D9" xr:uid="{BB9634B1-4C29-4562-9568-A9E394F8C39A}">
      <formula1>"0,1,2,3,4,5"</formula1>
    </dataValidation>
    <dataValidation type="textLength" allowBlank="1" showInputMessage="1" showErrorMessage="1" sqref="A9" xr:uid="{17E33E4F-865C-4056-AE56-306B570380C6}">
      <formula1>0</formula1>
      <formula2>10000</formula2>
    </dataValidation>
    <dataValidation type="list" allowBlank="1" showInputMessage="1" showErrorMessage="1" sqref="B2 B5" xr:uid="{1EC2A6D5-89D5-415D-BDC7-2CE81E9FD309}">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329FA1-94E1-49F7-BDA1-2CC8A1B74302}">
          <x14:formula1>
            <xm:f>'44-range'!$A$1:$A$4</xm:f>
          </x14:formula1>
          <xm:sqref>B3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92967-79F8-478D-A868-D38EC623307E}">
  <sheetPr codeName="Sheet18"/>
  <dimension ref="A1:D15"/>
  <sheetViews>
    <sheetView workbookViewId="0"/>
  </sheetViews>
  <sheetFormatPr defaultRowHeight="14.4" x14ac:dyDescent="0.3"/>
  <cols>
    <col min="1" max="1" width="67.77734375" customWidth="1"/>
    <col min="2" max="2" width="23.77734375" customWidth="1"/>
    <col min="3" max="3" width="19.21875" customWidth="1"/>
    <col min="4" max="4" width="86.5546875" customWidth="1"/>
  </cols>
  <sheetData>
    <row r="1" spans="1:4" ht="59.55" customHeight="1" x14ac:dyDescent="0.3">
      <c r="A1" s="2" t="s">
        <v>69</v>
      </c>
    </row>
    <row r="2" spans="1:4" ht="28.8" x14ac:dyDescent="0.3">
      <c r="A2" s="10" t="s">
        <v>341</v>
      </c>
      <c r="B2" t="s">
        <v>1</v>
      </c>
      <c r="C2" s="8" t="s">
        <v>26</v>
      </c>
      <c r="D2" s="13"/>
    </row>
    <row r="3" spans="1:4" x14ac:dyDescent="0.3">
      <c r="B3" s="15"/>
    </row>
    <row r="5" spans="1:4" ht="28.8" x14ac:dyDescent="0.3">
      <c r="A5" s="10" t="s">
        <v>70</v>
      </c>
      <c r="B5" t="s">
        <v>1</v>
      </c>
      <c r="C5" s="8" t="s">
        <v>26</v>
      </c>
      <c r="D5" s="13"/>
    </row>
    <row r="6" spans="1:4" x14ac:dyDescent="0.3">
      <c r="B6" s="15"/>
    </row>
    <row r="8" spans="1:4" ht="28.8" x14ac:dyDescent="0.3">
      <c r="A8" s="10" t="s">
        <v>71</v>
      </c>
      <c r="B8" t="s">
        <v>1</v>
      </c>
      <c r="C8" s="8" t="s">
        <v>26</v>
      </c>
      <c r="D8" s="13"/>
    </row>
    <row r="9" spans="1:4" x14ac:dyDescent="0.3">
      <c r="B9" s="15"/>
    </row>
    <row r="11" spans="1:4" x14ac:dyDescent="0.3">
      <c r="A11" s="10" t="s">
        <v>72</v>
      </c>
      <c r="B11" t="s">
        <v>1</v>
      </c>
      <c r="C11" s="8" t="s">
        <v>26</v>
      </c>
      <c r="D11" s="13"/>
    </row>
    <row r="12" spans="1:4" x14ac:dyDescent="0.3">
      <c r="B12" s="15"/>
    </row>
    <row r="14" spans="1:4" x14ac:dyDescent="0.3">
      <c r="A14" s="1" t="s">
        <v>2</v>
      </c>
      <c r="D14" s="8" t="s">
        <v>3</v>
      </c>
    </row>
    <row r="15" spans="1:4" x14ac:dyDescent="0.3">
      <c r="A15" s="5"/>
      <c r="D15" s="9"/>
    </row>
  </sheetData>
  <sheetProtection sheet="1" objects="1" scenarios="1"/>
  <protectedRanges>
    <protectedRange sqref="D15" name="Rating"/>
    <protectedRange sqref="B2 B5 B8 B11" name="Choice"/>
    <protectedRange sqref="A15" name="Comments_1"/>
    <protectedRange sqref="D2" name="Reference_2_1"/>
    <protectedRange sqref="D5 D8 D11" name="Reference_2_1_2"/>
    <protectedRange sqref="B3 B6 B9 B12" name="Answers"/>
  </protectedRanges>
  <dataValidations count="3">
    <dataValidation type="list" allowBlank="1" showInputMessage="1" showErrorMessage="1" sqref="D15" xr:uid="{3DA4458F-41F9-4D54-8983-55F8FFFA8020}">
      <formula1>"0,1,2,3,4,5"</formula1>
    </dataValidation>
    <dataValidation type="textLength" allowBlank="1" showInputMessage="1" showErrorMessage="1" sqref="A15" xr:uid="{7E740516-8296-4805-B82D-0E1FC36E7757}">
      <formula1>0</formula1>
      <formula2>10000</formula2>
    </dataValidation>
    <dataValidation type="list" allowBlank="1" showInputMessage="1" showErrorMessage="1" sqref="B2 B5 B8 B11" xr:uid="{13B7256D-734B-4851-8A5D-336BB08092F6}">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9D4EE236-D59B-4720-A997-CF7D334CDD0D}">
          <x14:formula1>
            <xm:f>'46-ranges'!$A$1:$A$3</xm:f>
          </x14:formula1>
          <xm:sqref>B3</xm:sqref>
        </x14:dataValidation>
        <x14:dataValidation type="list" allowBlank="1" showInputMessage="1" showErrorMessage="1" xr:uid="{64B26BF0-2F46-4673-BE2C-AE67F6BC8632}">
          <x14:formula1>
            <xm:f>'46-ranges'!$A$7:$A$12</xm:f>
          </x14:formula1>
          <xm:sqref>B6</xm:sqref>
        </x14:dataValidation>
        <x14:dataValidation type="list" allowBlank="1" showInputMessage="1" showErrorMessage="1" xr:uid="{BEC253EB-A82F-4960-9261-546C05BE1B84}">
          <x14:formula1>
            <xm:f>'46-ranges'!$A$14:$A$16</xm:f>
          </x14:formula1>
          <xm:sqref>B9</xm:sqref>
        </x14:dataValidation>
        <x14:dataValidation type="list" allowBlank="1" showInputMessage="1" showErrorMessage="1" xr:uid="{E8C772D7-F9EA-454B-B97A-725C3B2E2B9E}">
          <x14:formula1>
            <xm:f>'46-ranges'!$A$19:$A$21</xm:f>
          </x14:formula1>
          <xm:sqref>B12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219F6-A3B8-41E1-85EA-C4B3467255A2}">
  <sheetPr codeName="Sheet19"/>
  <dimension ref="A1:A21"/>
  <sheetViews>
    <sheetView workbookViewId="0">
      <selection activeCell="A13" sqref="A13"/>
    </sheetView>
  </sheetViews>
  <sheetFormatPr defaultRowHeight="14.4" x14ac:dyDescent="0.3"/>
  <cols>
    <col min="1" max="1" width="8.77734375" customWidth="1"/>
  </cols>
  <sheetData>
    <row r="1" spans="1:1" x14ac:dyDescent="0.3">
      <c r="A1" t="s">
        <v>39</v>
      </c>
    </row>
    <row r="2" spans="1:1" x14ac:dyDescent="0.3">
      <c r="A2" t="s">
        <v>20</v>
      </c>
    </row>
    <row r="3" spans="1:1" x14ac:dyDescent="0.3">
      <c r="A3" t="s">
        <v>17</v>
      </c>
    </row>
    <row r="7" spans="1:1" x14ac:dyDescent="0.3">
      <c r="A7" t="s">
        <v>73</v>
      </c>
    </row>
    <row r="8" spans="1:1" x14ac:dyDescent="0.3">
      <c r="A8" t="s">
        <v>74</v>
      </c>
    </row>
    <row r="9" spans="1:1" x14ac:dyDescent="0.3">
      <c r="A9" t="s">
        <v>75</v>
      </c>
    </row>
    <row r="10" spans="1:1" x14ac:dyDescent="0.3">
      <c r="A10" t="s">
        <v>76</v>
      </c>
    </row>
    <row r="11" spans="1:1" x14ac:dyDescent="0.3">
      <c r="A11" t="s">
        <v>77</v>
      </c>
    </row>
    <row r="12" spans="1:1" x14ac:dyDescent="0.3">
      <c r="A12" t="s">
        <v>392</v>
      </c>
    </row>
    <row r="14" spans="1:1" x14ac:dyDescent="0.3">
      <c r="A14" t="s">
        <v>20</v>
      </c>
    </row>
    <row r="15" spans="1:1" x14ac:dyDescent="0.3">
      <c r="A15" t="s">
        <v>79</v>
      </c>
    </row>
    <row r="16" spans="1:1" x14ac:dyDescent="0.3">
      <c r="A16" t="s">
        <v>80</v>
      </c>
    </row>
    <row r="19" spans="1:1" x14ac:dyDescent="0.3">
      <c r="A19" t="s">
        <v>81</v>
      </c>
    </row>
    <row r="20" spans="1:1" x14ac:dyDescent="0.3">
      <c r="A20" t="s">
        <v>82</v>
      </c>
    </row>
    <row r="21" spans="1:1" x14ac:dyDescent="0.3">
      <c r="A21" t="s">
        <v>83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28701-CCBA-4F3A-91C7-1CE29BE43D63}">
  <sheetPr codeName="Sheet15"/>
  <dimension ref="A1:A4"/>
  <sheetViews>
    <sheetView workbookViewId="0">
      <selection sqref="A1:A4"/>
    </sheetView>
  </sheetViews>
  <sheetFormatPr defaultRowHeight="14.4" x14ac:dyDescent="0.3"/>
  <cols>
    <col min="1" max="1" width="43.44140625" bestFit="1" customWidth="1"/>
  </cols>
  <sheetData>
    <row r="1" spans="1:1" x14ac:dyDescent="0.3">
      <c r="A1" s="11" t="s">
        <v>39</v>
      </c>
    </row>
    <row r="2" spans="1:1" ht="31.95" customHeight="1" x14ac:dyDescent="0.3">
      <c r="A2" s="12" t="s">
        <v>46</v>
      </c>
    </row>
    <row r="3" spans="1:1" x14ac:dyDescent="0.3">
      <c r="A3" s="16" t="s">
        <v>47</v>
      </c>
    </row>
    <row r="4" spans="1:1" x14ac:dyDescent="0.3">
      <c r="A4" s="11" t="s">
        <v>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C1BF8-0625-436D-888D-7EF6E1147349}">
  <sheetPr codeName="Sheet27"/>
  <dimension ref="A1:E33"/>
  <sheetViews>
    <sheetView workbookViewId="0"/>
  </sheetViews>
  <sheetFormatPr defaultRowHeight="14.4" x14ac:dyDescent="0.3"/>
  <cols>
    <col min="1" max="1" width="76.77734375" customWidth="1"/>
    <col min="2" max="2" width="19.44140625" customWidth="1"/>
    <col min="4" max="4" width="10.21875" bestFit="1" customWidth="1"/>
    <col min="5" max="5" width="90.77734375" customWidth="1"/>
  </cols>
  <sheetData>
    <row r="1" spans="1:5" ht="18" x14ac:dyDescent="0.35">
      <c r="A1" s="41" t="s">
        <v>187</v>
      </c>
    </row>
    <row r="2" spans="1:5" ht="28.8" x14ac:dyDescent="0.3">
      <c r="A2" s="10" t="s">
        <v>342</v>
      </c>
      <c r="B2" t="s">
        <v>1</v>
      </c>
      <c r="D2" s="8" t="s">
        <v>26</v>
      </c>
      <c r="E2" s="13"/>
    </row>
    <row r="3" spans="1:5" x14ac:dyDescent="0.3">
      <c r="A3" s="45" t="s">
        <v>277</v>
      </c>
      <c r="B3" s="5"/>
    </row>
    <row r="4" spans="1:5" ht="28.8" x14ac:dyDescent="0.3">
      <c r="A4" s="45" t="s">
        <v>343</v>
      </c>
      <c r="B4" s="5"/>
    </row>
    <row r="5" spans="1:5" ht="28.8" x14ac:dyDescent="0.3">
      <c r="A5" s="45" t="s">
        <v>127</v>
      </c>
      <c r="B5" s="5"/>
    </row>
    <row r="6" spans="1:5" ht="28.8" x14ac:dyDescent="0.3">
      <c r="A6" s="45" t="s">
        <v>128</v>
      </c>
      <c r="B6" s="5"/>
    </row>
    <row r="7" spans="1:5" ht="43.2" x14ac:dyDescent="0.3">
      <c r="A7" s="45" t="s">
        <v>344</v>
      </c>
      <c r="B7" s="5"/>
    </row>
    <row r="8" spans="1:5" ht="28.8" x14ac:dyDescent="0.3">
      <c r="A8" s="45" t="s">
        <v>345</v>
      </c>
      <c r="B8" s="5"/>
    </row>
    <row r="9" spans="1:5" x14ac:dyDescent="0.3">
      <c r="A9" s="45" t="s">
        <v>346</v>
      </c>
      <c r="B9" s="5"/>
    </row>
    <row r="10" spans="1:5" ht="50.25" customHeight="1" x14ac:dyDescent="0.3">
      <c r="A10" s="45" t="s">
        <v>129</v>
      </c>
      <c r="B10" s="5"/>
    </row>
    <row r="11" spans="1:5" ht="28.8" x14ac:dyDescent="0.3">
      <c r="A11" s="10" t="s">
        <v>347</v>
      </c>
      <c r="B11" t="s">
        <v>1</v>
      </c>
      <c r="D11" s="8" t="s">
        <v>26</v>
      </c>
      <c r="E11" s="13"/>
    </row>
    <row r="12" spans="1:5" x14ac:dyDescent="0.3">
      <c r="A12" s="45" t="s">
        <v>348</v>
      </c>
      <c r="B12" s="5"/>
    </row>
    <row r="13" spans="1:5" x14ac:dyDescent="0.3">
      <c r="A13" s="45" t="s">
        <v>130</v>
      </c>
      <c r="B13" s="5"/>
    </row>
    <row r="14" spans="1:5" ht="28.8" x14ac:dyDescent="0.3">
      <c r="A14" s="45" t="s">
        <v>349</v>
      </c>
      <c r="B14" s="5"/>
    </row>
    <row r="15" spans="1:5" ht="28.8" x14ac:dyDescent="0.3">
      <c r="A15" s="45" t="s">
        <v>131</v>
      </c>
      <c r="B15" s="5"/>
    </row>
    <row r="16" spans="1:5" ht="28.8" x14ac:dyDescent="0.3">
      <c r="A16" s="45" t="s">
        <v>132</v>
      </c>
      <c r="B16" s="5"/>
    </row>
    <row r="17" spans="1:5" ht="43.2" x14ac:dyDescent="0.3">
      <c r="A17" s="10" t="s">
        <v>350</v>
      </c>
      <c r="B17" t="s">
        <v>1</v>
      </c>
      <c r="D17" s="8" t="s">
        <v>26</v>
      </c>
      <c r="E17" s="13"/>
    </row>
    <row r="18" spans="1:5" x14ac:dyDescent="0.3">
      <c r="A18" s="11"/>
      <c r="B18" s="5"/>
    </row>
    <row r="19" spans="1:5" x14ac:dyDescent="0.3">
      <c r="A19" s="11"/>
      <c r="B19" s="11"/>
      <c r="C19" s="11"/>
    </row>
    <row r="20" spans="1:5" x14ac:dyDescent="0.3">
      <c r="A20" s="11"/>
      <c r="B20" s="11"/>
      <c r="C20" s="11"/>
    </row>
    <row r="21" spans="1:5" x14ac:dyDescent="0.3">
      <c r="A21" s="11"/>
      <c r="B21" s="11"/>
      <c r="C21" s="11"/>
    </row>
    <row r="22" spans="1:5" x14ac:dyDescent="0.3">
      <c r="A22" s="11"/>
      <c r="B22" s="11"/>
      <c r="C22" s="11"/>
    </row>
    <row r="23" spans="1:5" ht="15" customHeight="1" x14ac:dyDescent="0.3"/>
    <row r="24" spans="1:5" x14ac:dyDescent="0.3">
      <c r="A24" s="1" t="s">
        <v>2</v>
      </c>
      <c r="D24" s="8" t="s">
        <v>3</v>
      </c>
    </row>
    <row r="25" spans="1:5" x14ac:dyDescent="0.3">
      <c r="A25" s="5"/>
      <c r="D25" s="9"/>
    </row>
    <row r="27" spans="1:5" x14ac:dyDescent="0.3">
      <c r="A27" s="46"/>
    </row>
    <row r="28" spans="1:5" ht="14.55" customHeight="1" x14ac:dyDescent="0.3">
      <c r="A28" s="46"/>
    </row>
    <row r="29" spans="1:5" x14ac:dyDescent="0.3">
      <c r="A29" s="46"/>
    </row>
    <row r="30" spans="1:5" x14ac:dyDescent="0.3">
      <c r="A30" s="46"/>
    </row>
    <row r="31" spans="1:5" x14ac:dyDescent="0.3">
      <c r="A31" s="46"/>
    </row>
    <row r="32" spans="1:5" x14ac:dyDescent="0.3">
      <c r="A32" s="46"/>
    </row>
    <row r="33" spans="1:1" x14ac:dyDescent="0.3">
      <c r="A33" s="46"/>
    </row>
  </sheetData>
  <sheetProtection sheet="1" objects="1" scenarios="1"/>
  <protectedRanges>
    <protectedRange sqref="A25" name="Comments"/>
    <protectedRange sqref="D25" name="Rating"/>
    <protectedRange sqref="E11" name="Reference_2_1_1"/>
    <protectedRange sqref="E17" name="Reference_2_1_1_1"/>
    <protectedRange sqref="E2" name="Reference_2_1_1_2"/>
    <protectedRange sqref="B2 B11 B17" name="Choice"/>
    <protectedRange sqref="B3:B10 B12:B16 B18:B22" name="Answers_1"/>
  </protectedRanges>
  <dataValidations count="4">
    <dataValidation type="list" allowBlank="1" showInputMessage="1" showErrorMessage="1" sqref="D25" xr:uid="{04C866A6-D13A-46D1-B0FF-9D360EAB39B2}">
      <formula1>"0,1,2,3,4,5"</formula1>
    </dataValidation>
    <dataValidation type="textLength" allowBlank="1" showInputMessage="1" showErrorMessage="1" sqref="A25" xr:uid="{44F1592D-539D-4EB1-AEEC-359489989D54}">
      <formula1>0</formula1>
      <formula2>10000</formula2>
    </dataValidation>
    <dataValidation type="list" allowBlank="1" showInputMessage="1" showErrorMessage="1" sqref="B3:B10 B12:B16 B19:B22" xr:uid="{BBEF7468-D4ED-43E0-BEFB-F917D77AB478}">
      <formula1>"Yes"</formula1>
    </dataValidation>
    <dataValidation type="list" allowBlank="1" showErrorMessage="1" prompt="Select the arrow to the right to activate the drop-down menu." sqref="B2 B11 B17" xr:uid="{6F7EE1A1-32AB-4109-BA96-5AD87615E66E}">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ErrorMessage="1" xr:uid="{2521676C-608D-48B6-9856-3764E5BF7746}">
          <x14:formula1>
            <xm:f>'53-ranges'!$A$1:$A$5</xm:f>
          </x14:formula1>
          <xm:sqref>B18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9737D-9144-4CA9-8566-58C08B752CC9}">
  <sheetPr codeName="Sheet3"/>
  <dimension ref="A1:A5"/>
  <sheetViews>
    <sheetView workbookViewId="0">
      <selection sqref="A1:A5"/>
    </sheetView>
  </sheetViews>
  <sheetFormatPr defaultRowHeight="14.4" x14ac:dyDescent="0.3"/>
  <sheetData>
    <row r="1" spans="1:1" x14ac:dyDescent="0.3">
      <c r="A1" t="s">
        <v>282</v>
      </c>
    </row>
    <row r="2" spans="1:1" x14ac:dyDescent="0.3">
      <c r="A2" t="s">
        <v>351</v>
      </c>
    </row>
    <row r="3" spans="1:1" x14ac:dyDescent="0.3">
      <c r="A3" t="s">
        <v>133</v>
      </c>
    </row>
    <row r="4" spans="1:1" x14ac:dyDescent="0.3">
      <c r="A4" t="s">
        <v>22</v>
      </c>
    </row>
    <row r="5" spans="1:1" x14ac:dyDescent="0.3">
      <c r="A5" t="s">
        <v>352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88B73-A58C-487A-B391-24D6BC60D1C8}">
  <sheetPr codeName="Sheet9"/>
  <dimension ref="A1:E9"/>
  <sheetViews>
    <sheetView workbookViewId="0"/>
  </sheetViews>
  <sheetFormatPr defaultRowHeight="14.4" x14ac:dyDescent="0.3"/>
  <cols>
    <col min="1" max="1" width="70.21875" bestFit="1" customWidth="1"/>
    <col min="2" max="2" width="74.5546875" customWidth="1"/>
    <col min="3" max="3" width="31.44140625" customWidth="1"/>
    <col min="4" max="4" width="74.77734375" customWidth="1"/>
  </cols>
  <sheetData>
    <row r="1" spans="1:5" ht="43.2" customHeight="1" x14ac:dyDescent="0.3">
      <c r="A1" s="2" t="s">
        <v>25</v>
      </c>
    </row>
    <row r="2" spans="1:5" ht="27" customHeight="1" x14ac:dyDescent="0.3">
      <c r="A2" s="10" t="s">
        <v>353</v>
      </c>
      <c r="B2" t="s">
        <v>1</v>
      </c>
      <c r="C2" s="8" t="s">
        <v>26</v>
      </c>
      <c r="D2" s="13"/>
    </row>
    <row r="3" spans="1:5" x14ac:dyDescent="0.3">
      <c r="A3" s="11"/>
      <c r="B3" s="6"/>
    </row>
    <row r="4" spans="1:5" ht="19.2" customHeight="1" x14ac:dyDescent="0.3">
      <c r="A4" s="12"/>
    </row>
    <row r="5" spans="1:5" ht="26.55" customHeight="1" x14ac:dyDescent="0.3">
      <c r="A5" s="10" t="s">
        <v>24</v>
      </c>
      <c r="B5" t="s">
        <v>1</v>
      </c>
      <c r="C5" s="8" t="s">
        <v>26</v>
      </c>
      <c r="D5" s="13"/>
    </row>
    <row r="6" spans="1:5" x14ac:dyDescent="0.3">
      <c r="A6" s="11"/>
      <c r="B6" s="6"/>
    </row>
    <row r="8" spans="1:5" x14ac:dyDescent="0.3">
      <c r="A8" s="1" t="s">
        <v>2</v>
      </c>
      <c r="D8" s="8" t="s">
        <v>3</v>
      </c>
    </row>
    <row r="9" spans="1:5" x14ac:dyDescent="0.3">
      <c r="A9" s="5"/>
      <c r="D9" s="9"/>
      <c r="E9" s="7" t="s">
        <v>0</v>
      </c>
    </row>
  </sheetData>
  <sheetProtection sheet="1" objects="1" scenarios="1"/>
  <protectedRanges>
    <protectedRange sqref="D2" name="Reference_2"/>
    <protectedRange sqref="D5" name="Reference_1"/>
    <protectedRange sqref="B6 B3" name="Answers_1"/>
    <protectedRange sqref="D9" name="Rating"/>
    <protectedRange sqref="A9" name="Comments"/>
    <protectedRange sqref="B2 B5" name="Answers_1_1"/>
  </protectedRanges>
  <dataValidations count="4">
    <dataValidation type="textLength" allowBlank="1" showInputMessage="1" showErrorMessage="1" sqref="A9" xr:uid="{7E7D7AD3-B136-4578-ABDC-9D3F8B857358}">
      <formula1>0</formula1>
      <formula2>10000</formula2>
    </dataValidation>
    <dataValidation allowBlank="1" showInputMessage="1" showErrorMessage="1" prompt="Select the cell to the left to activate the drop-down menu." sqref="E9" xr:uid="{E1960925-F1F9-409F-A0CB-259ABBADBEC1}"/>
    <dataValidation type="list" allowBlank="1" showInputMessage="1" showErrorMessage="1" sqref="D9" xr:uid="{37806951-A70E-4976-ADBE-B7256F8D9586}">
      <formula1>"0,1,2,3,4,5"</formula1>
    </dataValidation>
    <dataValidation type="list" allowBlank="1" showErrorMessage="1" prompt="Select the arrow to the right to activate the drop-down menu." sqref="B2 B5" xr:uid="{EE967113-F38A-4614-AE1E-6AE6E1EE02C2}">
      <formula1>"Choose answer, Data not available/Not willing to share"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ErrorMessage="1" prompt="Select the arrow to the right to activate the drop-down menu." xr:uid="{2A46AE67-5143-4D87-8099-28FF41CC15E6}">
          <x14:formula1>
            <xm:f>'54-ranges'!$A$9:$A$14</xm:f>
          </x14:formula1>
          <xm:sqref>B6</xm:sqref>
        </x14:dataValidation>
        <x14:dataValidation type="list" allowBlank="1" showErrorMessage="1" prompt="Select the arrow to the right to activate the drop-down menu." xr:uid="{8B5F6486-75A1-42A4-AF54-B4500C236EC2}">
          <x14:formula1>
            <xm:f>'54-ranges'!$A$1:$A$6</xm:f>
          </x14:formula1>
          <xm:sqref>B3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92974-A8C0-4C90-A072-CC19AD76A67D}">
  <sheetPr codeName="Sheet10"/>
  <dimension ref="A1:A14"/>
  <sheetViews>
    <sheetView workbookViewId="0">
      <selection activeCell="A9" sqref="A9:A14"/>
    </sheetView>
  </sheetViews>
  <sheetFormatPr defaultRowHeight="14.4" x14ac:dyDescent="0.3"/>
  <cols>
    <col min="1" max="1" width="70.21875" bestFit="1" customWidth="1"/>
  </cols>
  <sheetData>
    <row r="1" spans="1:1" x14ac:dyDescent="0.3">
      <c r="A1" t="s">
        <v>20</v>
      </c>
    </row>
    <row r="2" spans="1:1" x14ac:dyDescent="0.3">
      <c r="A2" t="s">
        <v>382</v>
      </c>
    </row>
    <row r="3" spans="1:1" x14ac:dyDescent="0.3">
      <c r="A3" t="s">
        <v>21</v>
      </c>
    </row>
    <row r="4" spans="1:1" x14ac:dyDescent="0.3">
      <c r="A4" t="s">
        <v>22</v>
      </c>
    </row>
    <row r="5" spans="1:1" x14ac:dyDescent="0.3">
      <c r="A5" t="s">
        <v>23</v>
      </c>
    </row>
    <row r="6" spans="1:1" ht="41.55" customHeight="1" x14ac:dyDescent="0.3">
      <c r="A6" t="s">
        <v>383</v>
      </c>
    </row>
    <row r="7" spans="1:1" x14ac:dyDescent="0.3">
      <c r="A7" s="12"/>
    </row>
    <row r="9" spans="1:1" x14ac:dyDescent="0.3">
      <c r="A9" t="s">
        <v>20</v>
      </c>
    </row>
    <row r="10" spans="1:1" x14ac:dyDescent="0.3">
      <c r="A10" t="s">
        <v>384</v>
      </c>
    </row>
    <row r="11" spans="1:1" x14ac:dyDescent="0.3">
      <c r="A11" t="s">
        <v>21</v>
      </c>
    </row>
    <row r="12" spans="1:1" x14ac:dyDescent="0.3">
      <c r="A12" t="s">
        <v>22</v>
      </c>
    </row>
    <row r="13" spans="1:1" x14ac:dyDescent="0.3">
      <c r="A13" t="s">
        <v>23</v>
      </c>
    </row>
    <row r="14" spans="1:1" x14ac:dyDescent="0.3">
      <c r="A14" t="s">
        <v>385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99BBD-2F89-4358-A2DB-8E87DE9F2AC1}">
  <sheetPr codeName="Sheet28"/>
  <dimension ref="A1:P17"/>
  <sheetViews>
    <sheetView workbookViewId="0"/>
  </sheetViews>
  <sheetFormatPr defaultRowHeight="14.4" x14ac:dyDescent="0.3"/>
  <cols>
    <col min="1" max="1" width="71.77734375" customWidth="1"/>
    <col min="2" max="2" width="28.77734375" customWidth="1"/>
    <col min="4" max="4" width="10.21875" bestFit="1" customWidth="1"/>
    <col min="5" max="5" width="109.77734375" customWidth="1"/>
  </cols>
  <sheetData>
    <row r="1" spans="1:16" ht="18" x14ac:dyDescent="0.35">
      <c r="A1" s="41" t="s">
        <v>188</v>
      </c>
    </row>
    <row r="2" spans="1:16" ht="43.2" x14ac:dyDescent="0.3">
      <c r="A2" s="10" t="s">
        <v>291</v>
      </c>
      <c r="B2" t="s">
        <v>1</v>
      </c>
      <c r="D2" s="8" t="s">
        <v>26</v>
      </c>
      <c r="E2" s="13"/>
    </row>
    <row r="3" spans="1:16" x14ac:dyDescent="0.3">
      <c r="A3" s="45" t="s">
        <v>292</v>
      </c>
      <c r="B3" s="5"/>
    </row>
    <row r="4" spans="1:16" x14ac:dyDescent="0.3">
      <c r="A4" s="14" t="s">
        <v>293</v>
      </c>
      <c r="B4" s="5"/>
      <c r="H4" s="20"/>
      <c r="I4" s="20"/>
      <c r="J4" s="20"/>
      <c r="K4" s="20"/>
      <c r="L4" s="20"/>
      <c r="M4" s="20"/>
      <c r="N4" s="20"/>
      <c r="O4" s="20"/>
      <c r="P4" s="20"/>
    </row>
    <row r="5" spans="1:16" x14ac:dyDescent="0.3">
      <c r="A5" s="14" t="s">
        <v>294</v>
      </c>
      <c r="B5" s="5"/>
      <c r="H5" s="20"/>
      <c r="I5" s="20"/>
      <c r="J5" s="25"/>
      <c r="K5" s="20"/>
      <c r="L5" s="20"/>
      <c r="M5" s="20"/>
      <c r="N5" s="20"/>
      <c r="O5" s="20"/>
      <c r="P5" s="20"/>
    </row>
    <row r="6" spans="1:16" ht="28.8" x14ac:dyDescent="0.3">
      <c r="A6" s="14" t="s">
        <v>295</v>
      </c>
      <c r="B6" s="5"/>
      <c r="H6" s="20"/>
      <c r="I6" s="20"/>
      <c r="J6" s="27"/>
      <c r="K6" s="20"/>
      <c r="L6" s="20"/>
      <c r="M6" s="20"/>
      <c r="N6" s="20"/>
      <c r="O6" s="20"/>
      <c r="P6" s="20"/>
    </row>
    <row r="7" spans="1:16" ht="28.8" x14ac:dyDescent="0.3">
      <c r="A7" s="14" t="s">
        <v>135</v>
      </c>
      <c r="B7" s="5"/>
      <c r="H7" s="20"/>
      <c r="I7" s="20"/>
      <c r="J7" s="27"/>
      <c r="K7" s="20"/>
      <c r="L7" s="20"/>
      <c r="M7" s="20"/>
      <c r="N7" s="20"/>
      <c r="O7" s="20"/>
      <c r="P7" s="20"/>
    </row>
    <row r="8" spans="1:16" ht="28.8" x14ac:dyDescent="0.3">
      <c r="A8" s="10" t="s">
        <v>296</v>
      </c>
      <c r="B8" t="s">
        <v>1</v>
      </c>
      <c r="D8" s="8" t="s">
        <v>26</v>
      </c>
      <c r="E8" s="13"/>
      <c r="H8" s="20"/>
      <c r="I8" s="20"/>
      <c r="J8" s="27"/>
      <c r="K8" s="20"/>
      <c r="L8" s="20"/>
      <c r="M8" s="20"/>
      <c r="N8" s="20"/>
      <c r="O8" s="20"/>
      <c r="P8" s="20"/>
    </row>
    <row r="9" spans="1:16" x14ac:dyDescent="0.3">
      <c r="A9" s="45" t="s">
        <v>292</v>
      </c>
      <c r="B9" s="5"/>
      <c r="H9" s="20"/>
      <c r="I9" s="20"/>
      <c r="J9" s="27"/>
      <c r="K9" s="20"/>
      <c r="L9" s="20"/>
      <c r="M9" s="20"/>
      <c r="N9" s="20"/>
      <c r="O9" s="20"/>
      <c r="P9" s="20"/>
    </row>
    <row r="10" spans="1:16" ht="28.8" x14ac:dyDescent="0.3">
      <c r="A10" s="14" t="s">
        <v>136</v>
      </c>
      <c r="B10" s="5"/>
      <c r="H10" s="20"/>
      <c r="I10" s="20"/>
      <c r="J10" s="20"/>
      <c r="K10" s="20"/>
      <c r="L10" s="20"/>
      <c r="M10" s="20"/>
      <c r="N10" s="20"/>
      <c r="O10" s="20"/>
      <c r="P10" s="20"/>
    </row>
    <row r="11" spans="1:16" x14ac:dyDescent="0.3">
      <c r="A11" s="14" t="s">
        <v>297</v>
      </c>
      <c r="B11" s="5"/>
      <c r="H11" s="20"/>
      <c r="I11" s="20"/>
      <c r="J11" s="25"/>
      <c r="K11" s="20"/>
      <c r="L11" s="20"/>
      <c r="M11" s="20"/>
      <c r="N11" s="20"/>
      <c r="O11" s="20"/>
      <c r="P11" s="20"/>
    </row>
    <row r="12" spans="1:16" x14ac:dyDescent="0.3">
      <c r="A12" s="14" t="s">
        <v>298</v>
      </c>
      <c r="B12" s="5"/>
      <c r="H12" s="20"/>
      <c r="I12" s="20"/>
      <c r="J12" s="27"/>
      <c r="K12" s="20"/>
      <c r="L12" s="20"/>
      <c r="M12" s="20"/>
      <c r="N12" s="20"/>
      <c r="O12" s="20"/>
      <c r="P12" s="20"/>
    </row>
    <row r="13" spans="1:16" ht="28.8" x14ac:dyDescent="0.3">
      <c r="A13" s="14" t="s">
        <v>299</v>
      </c>
      <c r="B13" s="5"/>
      <c r="H13" s="20"/>
      <c r="I13" s="20"/>
      <c r="J13" s="27"/>
      <c r="K13" s="20"/>
      <c r="L13" s="20"/>
      <c r="M13" s="20"/>
      <c r="N13" s="20"/>
      <c r="O13" s="20"/>
      <c r="P13" s="20"/>
    </row>
    <row r="14" spans="1:16" x14ac:dyDescent="0.3">
      <c r="A14" s="14" t="s">
        <v>137</v>
      </c>
      <c r="B14" s="5"/>
      <c r="H14" s="20"/>
      <c r="I14" s="20"/>
      <c r="J14" s="27"/>
      <c r="K14" s="20"/>
      <c r="L14" s="20"/>
      <c r="M14" s="20"/>
      <c r="N14" s="20"/>
      <c r="O14" s="20"/>
      <c r="P14" s="20"/>
    </row>
    <row r="16" spans="1:16" x14ac:dyDescent="0.3">
      <c r="A16" s="1" t="s">
        <v>2</v>
      </c>
      <c r="D16" s="8" t="s">
        <v>3</v>
      </c>
    </row>
    <row r="17" spans="1:4" x14ac:dyDescent="0.3">
      <c r="A17" s="5"/>
      <c r="D17" s="9"/>
    </row>
  </sheetData>
  <sheetProtection sheet="1" objects="1" scenarios="1"/>
  <protectedRanges>
    <protectedRange sqref="A17" name="Comments"/>
    <protectedRange sqref="D17" name="Rating"/>
    <protectedRange sqref="E2" name="Reference_2_1_1"/>
    <protectedRange sqref="E8" name="Reference_2_1_1_1"/>
    <protectedRange sqref="B2 B8" name="Choice"/>
    <protectedRange sqref="B3:B7 B9:B14" name="Answers_1"/>
  </protectedRanges>
  <dataValidations count="4">
    <dataValidation type="list" allowBlank="1" showInputMessage="1" showErrorMessage="1" sqref="D17" xr:uid="{1A563385-D399-407E-977F-0A4FBCB1A99A}">
      <formula1>"0,1,2,3,4,5"</formula1>
    </dataValidation>
    <dataValidation type="textLength" allowBlank="1" showInputMessage="1" showErrorMessage="1" sqref="A17" xr:uid="{85591E17-8CFF-4F5A-BC9B-6F390974B4A2}">
      <formula1>0</formula1>
      <formula2>10000</formula2>
    </dataValidation>
    <dataValidation type="list" allowBlank="1" showInputMessage="1" showErrorMessage="1" sqref="B3:B7 B9:B14" xr:uid="{4ABAC446-3BD6-44B2-BB62-C92604B712A5}">
      <formula1>"Yes"</formula1>
    </dataValidation>
    <dataValidation type="list" allowBlank="1" showErrorMessage="1" prompt="Select the arrow to the right to activate the drop-down menu." sqref="B2 B8" xr:uid="{7BF49DF8-E201-4269-989B-73C4B29F4FDA}">
      <formula1>"Choose answer, Data not available/Not willing to share"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86DF5-CBA0-4166-9E3A-45A09EA95B38}">
  <sheetPr codeName="Sheet29"/>
  <dimension ref="A1:E24"/>
  <sheetViews>
    <sheetView workbookViewId="0"/>
  </sheetViews>
  <sheetFormatPr defaultRowHeight="14.4" x14ac:dyDescent="0.3"/>
  <cols>
    <col min="1" max="1" width="77.44140625" customWidth="1"/>
    <col min="2" max="2" width="18.21875" customWidth="1"/>
    <col min="4" max="4" width="10.21875" bestFit="1" customWidth="1"/>
    <col min="5" max="5" width="114.21875" customWidth="1"/>
  </cols>
  <sheetData>
    <row r="1" spans="1:5" ht="18" x14ac:dyDescent="0.35">
      <c r="A1" s="41" t="s">
        <v>189</v>
      </c>
    </row>
    <row r="2" spans="1:5" ht="28.8" x14ac:dyDescent="0.3">
      <c r="A2" s="10" t="s">
        <v>300</v>
      </c>
      <c r="B2" t="s">
        <v>1</v>
      </c>
      <c r="D2" s="8" t="s">
        <v>26</v>
      </c>
      <c r="E2" s="13"/>
    </row>
    <row r="3" spans="1:5" x14ac:dyDescent="0.3">
      <c r="A3" s="14" t="s">
        <v>138</v>
      </c>
      <c r="B3" s="5"/>
    </row>
    <row r="4" spans="1:5" x14ac:dyDescent="0.3">
      <c r="A4" s="14" t="s">
        <v>139</v>
      </c>
      <c r="B4" s="5"/>
    </row>
    <row r="5" spans="1:5" x14ac:dyDescent="0.3">
      <c r="A5" s="14" t="s">
        <v>140</v>
      </c>
      <c r="B5" s="5"/>
    </row>
    <row r="6" spans="1:5" ht="28.8" x14ac:dyDescent="0.3">
      <c r="A6" s="14" t="s">
        <v>141</v>
      </c>
      <c r="B6" s="5"/>
    </row>
    <row r="7" spans="1:5" ht="28.8" x14ac:dyDescent="0.3">
      <c r="A7" s="10" t="s">
        <v>301</v>
      </c>
      <c r="B7" t="s">
        <v>1</v>
      </c>
      <c r="D7" s="8" t="s">
        <v>26</v>
      </c>
      <c r="E7" s="13"/>
    </row>
    <row r="8" spans="1:5" ht="28.8" x14ac:dyDescent="0.3">
      <c r="A8" s="14" t="s">
        <v>302</v>
      </c>
      <c r="B8" s="5"/>
    </row>
    <row r="9" spans="1:5" ht="28.8" x14ac:dyDescent="0.3">
      <c r="A9" s="14" t="s">
        <v>303</v>
      </c>
      <c r="B9" s="5"/>
    </row>
    <row r="10" spans="1:5" ht="43.2" x14ac:dyDescent="0.3">
      <c r="A10" s="14" t="s">
        <v>304</v>
      </c>
      <c r="B10" s="5"/>
    </row>
    <row r="11" spans="1:5" x14ac:dyDescent="0.3">
      <c r="A11" s="42"/>
    </row>
    <row r="12" spans="1:5" x14ac:dyDescent="0.3">
      <c r="A12" s="1" t="s">
        <v>2</v>
      </c>
      <c r="D12" s="8" t="s">
        <v>3</v>
      </c>
    </row>
    <row r="13" spans="1:5" x14ac:dyDescent="0.3">
      <c r="A13" s="5"/>
      <c r="D13" s="9"/>
    </row>
    <row r="14" spans="1:5" x14ac:dyDescent="0.3">
      <c r="A14" s="42"/>
    </row>
    <row r="15" spans="1:5" x14ac:dyDescent="0.3">
      <c r="A15" s="42"/>
    </row>
    <row r="16" spans="1:5" x14ac:dyDescent="0.3">
      <c r="A16" s="42"/>
    </row>
    <row r="17" spans="1:1" x14ac:dyDescent="0.3">
      <c r="A17" s="42"/>
    </row>
    <row r="18" spans="1:1" x14ac:dyDescent="0.3">
      <c r="A18" s="42"/>
    </row>
    <row r="19" spans="1:1" x14ac:dyDescent="0.3">
      <c r="A19" s="42"/>
    </row>
    <row r="20" spans="1:1" x14ac:dyDescent="0.3">
      <c r="A20" s="42"/>
    </row>
    <row r="21" spans="1:1" x14ac:dyDescent="0.3">
      <c r="A21" s="42"/>
    </row>
    <row r="22" spans="1:1" x14ac:dyDescent="0.3">
      <c r="A22" s="42"/>
    </row>
    <row r="23" spans="1:1" x14ac:dyDescent="0.3">
      <c r="A23" s="42"/>
    </row>
    <row r="24" spans="1:1" x14ac:dyDescent="0.3">
      <c r="A24" s="42"/>
    </row>
  </sheetData>
  <sheetProtection sheet="1" objects="1" scenarios="1"/>
  <protectedRanges>
    <protectedRange sqref="A13" name="Comments"/>
    <protectedRange sqref="D13" name="Rating"/>
    <protectedRange sqref="E2" name="Reference_2_1_1"/>
    <protectedRange sqref="E7" name="Reference_2_1_1_1"/>
    <protectedRange sqref="B2 B7" name="Choice"/>
    <protectedRange sqref="B3:B6" name="Answers_1"/>
    <protectedRange sqref="B8:B10" name="Answers_1_1"/>
  </protectedRanges>
  <dataValidations count="4">
    <dataValidation type="list" allowBlank="1" showInputMessage="1" showErrorMessage="1" sqref="D13" xr:uid="{68E92829-FD62-49EE-930E-435562928139}">
      <formula1>"0,1,2,3,4,5"</formula1>
    </dataValidation>
    <dataValidation type="textLength" allowBlank="1" showInputMessage="1" showErrorMessage="1" sqref="A13" xr:uid="{6D75D7D1-6B95-49C0-B1D5-1E0A64FA6C19}">
      <formula1>0</formula1>
      <formula2>10000</formula2>
    </dataValidation>
    <dataValidation type="list" allowBlank="1" showInputMessage="1" showErrorMessage="1" sqref="B3:B6 B8:B10" xr:uid="{C5FE5EFA-561F-4F9D-9BCC-41CD68C25A31}">
      <formula1>"Yes"</formula1>
    </dataValidation>
    <dataValidation type="list" allowBlank="1" showErrorMessage="1" prompt="Select the arrow to the right to activate the drop-down menu." sqref="B2 B7" xr:uid="{04F57A5B-8F09-4B6C-8CA6-DECF3E2DDBB8}">
      <formula1>"Choose answer, Data not available/Not willing to share"</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AADAB-D5CE-4694-9F09-340ACDF866E8}">
  <sheetPr codeName="Sheet31"/>
  <dimension ref="A1:E26"/>
  <sheetViews>
    <sheetView workbookViewId="0"/>
  </sheetViews>
  <sheetFormatPr defaultRowHeight="14.4" x14ac:dyDescent="0.3"/>
  <cols>
    <col min="1" max="1" width="68.44140625" customWidth="1"/>
    <col min="2" max="2" width="20.5546875" customWidth="1"/>
    <col min="4" max="4" width="10.21875" bestFit="1" customWidth="1"/>
    <col min="5" max="5" width="96.77734375" customWidth="1"/>
  </cols>
  <sheetData>
    <row r="1" spans="1:5" ht="18" x14ac:dyDescent="0.35">
      <c r="A1" s="41" t="s">
        <v>190</v>
      </c>
    </row>
    <row r="2" spans="1:5" ht="43.2" x14ac:dyDescent="0.3">
      <c r="A2" s="10" t="s">
        <v>305</v>
      </c>
      <c r="B2" t="s">
        <v>1</v>
      </c>
      <c r="D2" s="8" t="s">
        <v>26</v>
      </c>
      <c r="E2" s="13"/>
    </row>
    <row r="3" spans="1:5" x14ac:dyDescent="0.3">
      <c r="A3" s="31" t="s">
        <v>142</v>
      </c>
      <c r="B3" s="5"/>
    </row>
    <row r="4" spans="1:5" x14ac:dyDescent="0.3">
      <c r="A4" s="32" t="s">
        <v>143</v>
      </c>
      <c r="B4" s="5"/>
    </row>
    <row r="5" spans="1:5" x14ac:dyDescent="0.3">
      <c r="A5" s="31" t="s">
        <v>144</v>
      </c>
      <c r="B5" s="5"/>
    </row>
    <row r="6" spans="1:5" x14ac:dyDescent="0.3">
      <c r="A6" s="31" t="s">
        <v>145</v>
      </c>
      <c r="B6" s="5"/>
    </row>
    <row r="7" spans="1:5" x14ac:dyDescent="0.3">
      <c r="A7" s="31" t="s">
        <v>146</v>
      </c>
      <c r="B7" s="5"/>
    </row>
    <row r="8" spans="1:5" x14ac:dyDescent="0.3">
      <c r="A8" s="31" t="s">
        <v>147</v>
      </c>
      <c r="B8" s="5"/>
    </row>
    <row r="9" spans="1:5" x14ac:dyDescent="0.3">
      <c r="A9" s="31" t="s">
        <v>148</v>
      </c>
      <c r="B9" s="5"/>
    </row>
    <row r="10" spans="1:5" x14ac:dyDescent="0.3">
      <c r="A10" s="32" t="s">
        <v>149</v>
      </c>
      <c r="B10" s="5"/>
    </row>
    <row r="11" spans="1:5" x14ac:dyDescent="0.3">
      <c r="A11" s="31" t="s">
        <v>150</v>
      </c>
      <c r="B11" s="5"/>
    </row>
    <row r="12" spans="1:5" x14ac:dyDescent="0.3">
      <c r="A12" s="31" t="s">
        <v>151</v>
      </c>
      <c r="B12" s="5"/>
    </row>
    <row r="13" spans="1:5" x14ac:dyDescent="0.3">
      <c r="A13" s="31" t="s">
        <v>152</v>
      </c>
      <c r="B13" s="5"/>
    </row>
    <row r="14" spans="1:5" ht="18" customHeight="1" x14ac:dyDescent="0.3">
      <c r="A14" s="31" t="s">
        <v>153</v>
      </c>
      <c r="B14" s="5"/>
    </row>
    <row r="15" spans="1:5" ht="43.2" x14ac:dyDescent="0.3">
      <c r="A15" s="10" t="s">
        <v>306</v>
      </c>
      <c r="B15" t="s">
        <v>1</v>
      </c>
      <c r="D15" s="8" t="s">
        <v>26</v>
      </c>
      <c r="E15" s="13"/>
    </row>
    <row r="16" spans="1:5" x14ac:dyDescent="0.3">
      <c r="A16" s="31" t="s">
        <v>154</v>
      </c>
      <c r="B16" s="5"/>
    </row>
    <row r="17" spans="1:4" x14ac:dyDescent="0.3">
      <c r="A17" s="31" t="s">
        <v>155</v>
      </c>
      <c r="B17" s="5"/>
    </row>
    <row r="18" spans="1:4" x14ac:dyDescent="0.3">
      <c r="A18" s="31" t="s">
        <v>156</v>
      </c>
      <c r="B18" s="5"/>
    </row>
    <row r="19" spans="1:4" x14ac:dyDescent="0.3">
      <c r="A19" s="31" t="s">
        <v>157</v>
      </c>
      <c r="B19" s="5"/>
    </row>
    <row r="20" spans="1:4" ht="28.8" x14ac:dyDescent="0.3">
      <c r="A20" s="32" t="s">
        <v>307</v>
      </c>
      <c r="B20" s="5"/>
    </row>
    <row r="21" spans="1:4" x14ac:dyDescent="0.3">
      <c r="A21" s="31" t="s">
        <v>158</v>
      </c>
      <c r="B21" s="5"/>
    </row>
    <row r="22" spans="1:4" x14ac:dyDescent="0.3">
      <c r="A22" s="31" t="s">
        <v>159</v>
      </c>
      <c r="B22" s="5"/>
    </row>
    <row r="23" spans="1:4" ht="20.100000000000001" customHeight="1" x14ac:dyDescent="0.3">
      <c r="A23" s="31" t="s">
        <v>153</v>
      </c>
      <c r="B23" s="5"/>
    </row>
    <row r="25" spans="1:4" x14ac:dyDescent="0.3">
      <c r="A25" s="1" t="s">
        <v>2</v>
      </c>
      <c r="D25" s="8" t="s">
        <v>3</v>
      </c>
    </row>
    <row r="26" spans="1:4" x14ac:dyDescent="0.3">
      <c r="A26" s="5"/>
      <c r="D26" s="9"/>
    </row>
  </sheetData>
  <sheetProtection sheet="1" objects="1" scenarios="1"/>
  <protectedRanges>
    <protectedRange sqref="A26" name="Comments"/>
    <protectedRange sqref="D26" name="Rating"/>
    <protectedRange sqref="E15" name="Reference_2_1_1"/>
    <protectedRange sqref="E2" name="Reference_2_1_1_1"/>
    <protectedRange sqref="B2 B15" name="Choice"/>
    <protectedRange sqref="B3:B14" name="Answers_1"/>
    <protectedRange sqref="B16:B23" name="Answers_1_1"/>
  </protectedRanges>
  <dataValidations count="4">
    <dataValidation type="list" allowBlank="1" showInputMessage="1" showErrorMessage="1" sqref="D26" xr:uid="{B04333FB-FD52-4BAE-9AE1-F64F6C3E9710}">
      <formula1>"0,1,2,3,4,5"</formula1>
    </dataValidation>
    <dataValidation type="textLength" allowBlank="1" showInputMessage="1" showErrorMessage="1" sqref="A26" xr:uid="{6CFB0720-C17A-476A-94D3-4797D149C7EB}">
      <formula1>0</formula1>
      <formula2>10000</formula2>
    </dataValidation>
    <dataValidation type="list" allowBlank="1" showInputMessage="1" showErrorMessage="1" sqref="B3:B14 B16:B23" xr:uid="{548F820C-0A4F-4A2F-A2AB-D2502809A840}">
      <formula1>"Yes"</formula1>
    </dataValidation>
    <dataValidation type="list" allowBlank="1" showErrorMessage="1" prompt="Select the arrow to the right to activate the drop-down menu." sqref="B2 B15" xr:uid="{9F8C4207-2204-4A07-AC96-7B4F6E485791}">
      <formula1>"Choose answer, Data not available/Not willing to share"</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E040F-6C83-4450-A026-CA9B584BBA12}">
  <sheetPr codeName="Sheet32"/>
  <dimension ref="A1:E37"/>
  <sheetViews>
    <sheetView workbookViewId="0"/>
  </sheetViews>
  <sheetFormatPr defaultRowHeight="14.4" x14ac:dyDescent="0.3"/>
  <cols>
    <col min="1" max="1" width="71.21875" customWidth="1"/>
    <col min="2" max="2" width="17.5546875" customWidth="1"/>
    <col min="4" max="4" width="10.21875" bestFit="1" customWidth="1"/>
    <col min="5" max="5" width="99.21875" customWidth="1"/>
  </cols>
  <sheetData>
    <row r="1" spans="1:5" ht="18" x14ac:dyDescent="0.35">
      <c r="A1" s="47" t="s">
        <v>191</v>
      </c>
    </row>
    <row r="2" spans="1:5" ht="28.8" x14ac:dyDescent="0.3">
      <c r="A2" s="10" t="s">
        <v>389</v>
      </c>
      <c r="B2" t="s">
        <v>1</v>
      </c>
      <c r="D2" s="8" t="s">
        <v>26</v>
      </c>
      <c r="E2" s="13"/>
    </row>
    <row r="3" spans="1:5" x14ac:dyDescent="0.3">
      <c r="A3" s="31" t="s">
        <v>142</v>
      </c>
      <c r="B3" s="5"/>
    </row>
    <row r="4" spans="1:5" x14ac:dyDescent="0.3">
      <c r="A4" s="32" t="s">
        <v>143</v>
      </c>
      <c r="B4" s="5"/>
    </row>
    <row r="5" spans="1:5" x14ac:dyDescent="0.3">
      <c r="A5" s="31" t="s">
        <v>144</v>
      </c>
      <c r="B5" s="5"/>
    </row>
    <row r="6" spans="1:5" x14ac:dyDescent="0.3">
      <c r="A6" s="31" t="s">
        <v>145</v>
      </c>
      <c r="B6" s="5"/>
    </row>
    <row r="7" spans="1:5" x14ac:dyDescent="0.3">
      <c r="A7" s="31" t="s">
        <v>146</v>
      </c>
      <c r="B7" s="5"/>
    </row>
    <row r="8" spans="1:5" x14ac:dyDescent="0.3">
      <c r="A8" s="31" t="s">
        <v>147</v>
      </c>
      <c r="B8" s="5"/>
    </row>
    <row r="9" spans="1:5" x14ac:dyDescent="0.3">
      <c r="A9" s="31" t="s">
        <v>148</v>
      </c>
      <c r="B9" s="5"/>
    </row>
    <row r="10" spans="1:5" x14ac:dyDescent="0.3">
      <c r="A10" s="32" t="s">
        <v>149</v>
      </c>
      <c r="B10" s="5"/>
    </row>
    <row r="11" spans="1:5" x14ac:dyDescent="0.3">
      <c r="A11" s="31" t="s">
        <v>150</v>
      </c>
      <c r="B11" s="5"/>
    </row>
    <row r="12" spans="1:5" x14ac:dyDescent="0.3">
      <c r="A12" s="31" t="s">
        <v>151</v>
      </c>
      <c r="B12" s="5"/>
    </row>
    <row r="13" spans="1:5" x14ac:dyDescent="0.3">
      <c r="A13" s="31" t="s">
        <v>152</v>
      </c>
      <c r="B13" s="5"/>
    </row>
    <row r="14" spans="1:5" ht="18" customHeight="1" x14ac:dyDescent="0.3">
      <c r="A14" s="31" t="s">
        <v>153</v>
      </c>
      <c r="B14" s="5"/>
    </row>
    <row r="15" spans="1:5" ht="28.8" x14ac:dyDescent="0.3">
      <c r="A15" s="10" t="s">
        <v>390</v>
      </c>
      <c r="B15" t="s">
        <v>1</v>
      </c>
      <c r="D15" s="8" t="s">
        <v>26</v>
      </c>
      <c r="E15" s="13"/>
    </row>
    <row r="16" spans="1:5" x14ac:dyDescent="0.3">
      <c r="A16" s="31" t="s">
        <v>154</v>
      </c>
      <c r="B16" s="5"/>
    </row>
    <row r="17" spans="1:5" x14ac:dyDescent="0.3">
      <c r="A17" s="31" t="s">
        <v>155</v>
      </c>
      <c r="B17" s="5"/>
    </row>
    <row r="18" spans="1:5" x14ac:dyDescent="0.3">
      <c r="A18" s="31" t="s">
        <v>156</v>
      </c>
      <c r="B18" s="5"/>
    </row>
    <row r="19" spans="1:5" x14ac:dyDescent="0.3">
      <c r="A19" s="31" t="s">
        <v>157</v>
      </c>
      <c r="B19" s="5"/>
    </row>
    <row r="20" spans="1:5" ht="28.8" x14ac:dyDescent="0.3">
      <c r="A20" s="32" t="s">
        <v>307</v>
      </c>
      <c r="B20" s="5"/>
    </row>
    <row r="21" spans="1:5" x14ac:dyDescent="0.3">
      <c r="A21" s="31" t="s">
        <v>158</v>
      </c>
      <c r="B21" s="5"/>
    </row>
    <row r="22" spans="1:5" x14ac:dyDescent="0.3">
      <c r="A22" s="31" t="s">
        <v>159</v>
      </c>
      <c r="B22" s="5"/>
    </row>
    <row r="23" spans="1:5" ht="20.100000000000001" customHeight="1" x14ac:dyDescent="0.3">
      <c r="A23" s="31" t="s">
        <v>153</v>
      </c>
      <c r="B23" s="5"/>
    </row>
    <row r="24" spans="1:5" ht="28.8" x14ac:dyDescent="0.3">
      <c r="A24" s="10" t="s">
        <v>315</v>
      </c>
      <c r="B24" t="s">
        <v>1</v>
      </c>
      <c r="D24" s="8" t="s">
        <v>26</v>
      </c>
      <c r="E24" s="13"/>
    </row>
    <row r="25" spans="1:5" x14ac:dyDescent="0.3">
      <c r="A25" s="32" t="s">
        <v>310</v>
      </c>
      <c r="B25" s="5"/>
    </row>
    <row r="26" spans="1:5" x14ac:dyDescent="0.3">
      <c r="A26" s="32" t="s">
        <v>311</v>
      </c>
      <c r="B26" s="5"/>
    </row>
    <row r="27" spans="1:5" ht="28.8" x14ac:dyDescent="0.3">
      <c r="A27" s="32" t="s">
        <v>312</v>
      </c>
      <c r="B27" s="5"/>
    </row>
    <row r="28" spans="1:5" ht="43.2" x14ac:dyDescent="0.3">
      <c r="A28" s="32" t="s">
        <v>313</v>
      </c>
      <c r="B28" s="5"/>
    </row>
    <row r="29" spans="1:5" ht="28.8" x14ac:dyDescent="0.3">
      <c r="A29" s="32" t="s">
        <v>314</v>
      </c>
      <c r="B29" s="5"/>
    </row>
    <row r="31" spans="1:5" x14ac:dyDescent="0.3">
      <c r="A31" s="1" t="s">
        <v>2</v>
      </c>
      <c r="D31" s="8" t="s">
        <v>3</v>
      </c>
    </row>
    <row r="32" spans="1:5" x14ac:dyDescent="0.3">
      <c r="A32" s="5"/>
      <c r="D32" s="9"/>
    </row>
    <row r="37" spans="1:1" x14ac:dyDescent="0.3">
      <c r="A37" s="3"/>
    </row>
  </sheetData>
  <sheetProtection sheet="1" objects="1" scenarios="1"/>
  <protectedRanges>
    <protectedRange sqref="A32" name="Comments"/>
    <protectedRange sqref="D32" name="Rating"/>
    <protectedRange sqref="E2" name="Reference_2_1_1"/>
    <protectedRange sqref="E15 E24" name="Reference_2_1_1_1"/>
    <protectedRange sqref="B2 B15 B24" name="Choice"/>
    <protectedRange sqref="B3:B14 B17:B23 B25:B29" name="Answers_1"/>
    <protectedRange sqref="B16" name="Answers_1_1"/>
  </protectedRanges>
  <dataValidations count="4">
    <dataValidation type="list" allowBlank="1" showInputMessage="1" showErrorMessage="1" sqref="D32" xr:uid="{364393BC-CE5C-4D4F-8842-C18A1D720B0F}">
      <formula1>"0,1,2,3,4,5"</formula1>
    </dataValidation>
    <dataValidation type="textLength" allowBlank="1" showInputMessage="1" showErrorMessage="1" sqref="A32" xr:uid="{22CB8606-30FA-4D01-8B3E-22346FFD5740}">
      <formula1>0</formula1>
      <formula2>10000</formula2>
    </dataValidation>
    <dataValidation type="list" allowBlank="1" showInputMessage="1" showErrorMessage="1" sqref="B3:B14 B16:B23 B25:B29" xr:uid="{8F53A3F9-1288-4424-9CB6-670C0332B04D}">
      <formula1>"Yes"</formula1>
    </dataValidation>
    <dataValidation type="list" allowBlank="1" showErrorMessage="1" prompt="Select the arrow to the right to activate the drop-down menu." sqref="B2 B15 B24" xr:uid="{13DDEBBC-0BC4-43D0-86C0-26DFA835AED6}">
      <formula1>"Choose answer, Data not available/Not willing to share"</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4FB54-6B37-4752-9673-21727D7A29C8}">
  <sheetPr codeName="Sheet41"/>
  <dimension ref="A1:D21"/>
  <sheetViews>
    <sheetView workbookViewId="0"/>
  </sheetViews>
  <sheetFormatPr defaultRowHeight="14.4" x14ac:dyDescent="0.3"/>
  <cols>
    <col min="1" max="1" width="74.5546875" customWidth="1"/>
    <col min="2" max="2" width="26.77734375" customWidth="1"/>
    <col min="3" max="3" width="9.77734375" bestFit="1" customWidth="1"/>
    <col min="4" max="4" width="104" customWidth="1"/>
  </cols>
  <sheetData>
    <row r="1" spans="1:4" ht="18" x14ac:dyDescent="0.35">
      <c r="A1" s="41" t="s">
        <v>203</v>
      </c>
    </row>
    <row r="2" spans="1:4" ht="30.6" customHeight="1" x14ac:dyDescent="0.3">
      <c r="A2" s="10" t="s">
        <v>204</v>
      </c>
      <c r="B2" t="s">
        <v>1</v>
      </c>
      <c r="C2" s="8" t="s">
        <v>26</v>
      </c>
      <c r="D2" s="13"/>
    </row>
    <row r="3" spans="1:4" x14ac:dyDescent="0.3">
      <c r="B3" s="48"/>
    </row>
    <row r="5" spans="1:4" ht="43.2" x14ac:dyDescent="0.3">
      <c r="A5" s="10" t="s">
        <v>354</v>
      </c>
      <c r="B5" t="s">
        <v>1</v>
      </c>
      <c r="C5" s="8" t="s">
        <v>26</v>
      </c>
      <c r="D5" s="13"/>
    </row>
    <row r="6" spans="1:4" x14ac:dyDescent="0.3">
      <c r="B6" s="48"/>
    </row>
    <row r="8" spans="1:4" ht="28.8" x14ac:dyDescent="0.3">
      <c r="A8" s="10" t="s">
        <v>355</v>
      </c>
      <c r="B8" t="s">
        <v>1</v>
      </c>
      <c r="C8" s="8" t="s">
        <v>26</v>
      </c>
      <c r="D8" s="13"/>
    </row>
    <row r="9" spans="1:4" x14ac:dyDescent="0.3">
      <c r="B9" s="48"/>
    </row>
    <row r="11" spans="1:4" ht="28.8" x14ac:dyDescent="0.3">
      <c r="A11" s="10" t="s">
        <v>207</v>
      </c>
      <c r="B11" t="s">
        <v>1</v>
      </c>
      <c r="C11" s="8" t="s">
        <v>26</v>
      </c>
      <c r="D11" s="13"/>
    </row>
    <row r="12" spans="1:4" x14ac:dyDescent="0.3">
      <c r="B12" s="48"/>
    </row>
    <row r="14" spans="1:4" ht="28.8" x14ac:dyDescent="0.3">
      <c r="A14" s="10" t="s">
        <v>208</v>
      </c>
      <c r="B14" t="s">
        <v>1</v>
      </c>
      <c r="C14" s="8" t="s">
        <v>26</v>
      </c>
      <c r="D14" s="13"/>
    </row>
    <row r="15" spans="1:4" x14ac:dyDescent="0.3">
      <c r="B15" s="48"/>
    </row>
    <row r="17" spans="1:4" ht="44.55" customHeight="1" x14ac:dyDescent="0.3">
      <c r="A17" s="10" t="s">
        <v>209</v>
      </c>
      <c r="B17" t="s">
        <v>1</v>
      </c>
      <c r="C17" s="8" t="s">
        <v>26</v>
      </c>
      <c r="D17" s="13"/>
    </row>
    <row r="18" spans="1:4" x14ac:dyDescent="0.3">
      <c r="B18" s="48"/>
    </row>
    <row r="20" spans="1:4" x14ac:dyDescent="0.3">
      <c r="A20" s="1" t="s">
        <v>2</v>
      </c>
      <c r="D20" s="8" t="s">
        <v>3</v>
      </c>
    </row>
    <row r="21" spans="1:4" x14ac:dyDescent="0.3">
      <c r="A21" s="5"/>
      <c r="D21" s="9"/>
    </row>
  </sheetData>
  <sheetProtection sheet="1" objects="1" scenarios="1"/>
  <protectedRanges>
    <protectedRange sqref="B3 B6 B9 B12 B15 B18" name="Answers"/>
    <protectedRange sqref="D17" name="Reference_2_1_5"/>
    <protectedRange sqref="D14" name="Reference_2_1_4"/>
    <protectedRange sqref="D11" name="Reference_2_1_3"/>
    <protectedRange sqref="D8" name="Reference_2_1_2"/>
    <protectedRange sqref="D5" name="Reference_2_1_1"/>
    <protectedRange sqref="D2" name="Reference_2_1"/>
    <protectedRange sqref="D21" name="Rating"/>
    <protectedRange sqref="A21" name="Comments_1"/>
    <protectedRange sqref="B2 B5 B8 B11 B14 B17" name="Choice"/>
  </protectedRanges>
  <dataValidations count="3">
    <dataValidation type="textLength" allowBlank="1" showInputMessage="1" showErrorMessage="1" sqref="A21" xr:uid="{724C4478-A6BD-4C2A-AE63-DF9FDCBD79B7}">
      <formula1>0</formula1>
      <formula2>10000</formula2>
    </dataValidation>
    <dataValidation type="list" allowBlank="1" showInputMessage="1" showErrorMessage="1" sqref="D21" xr:uid="{1A4E45AD-C3E1-42B1-A332-53DE58A5D6DC}">
      <formula1>"0,1,2,3,4,5"</formula1>
    </dataValidation>
    <dataValidation type="list" allowBlank="1" showInputMessage="1" showErrorMessage="1" sqref="B2 B5 B8 B11 B14 B17" xr:uid="{41C40C70-48FB-443F-9F77-1B36F3305904}">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CCAB32-8CB7-4E2E-81B5-04F4FF53F7E5}">
          <x14:formula1>
            <xm:f>'60-ranges'!$A$1:$A$4</xm:f>
          </x14:formula1>
          <xm:sqref>B3 B6 B9 B12 B15 B18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CE85-1300-428F-93DE-4D058E7595BD}">
  <sheetPr codeName="Sheet43"/>
  <dimension ref="A1:E174"/>
  <sheetViews>
    <sheetView workbookViewId="0"/>
  </sheetViews>
  <sheetFormatPr defaultRowHeight="14.4" x14ac:dyDescent="0.3"/>
  <cols>
    <col min="1" max="1" width="93.77734375" bestFit="1" customWidth="1"/>
    <col min="2" max="2" width="20.21875" customWidth="1"/>
    <col min="4" max="4" width="10.21875" bestFit="1" customWidth="1"/>
    <col min="5" max="5" width="75.44140625" customWidth="1"/>
  </cols>
  <sheetData>
    <row r="1" spans="1:5" ht="18" x14ac:dyDescent="0.35">
      <c r="A1" s="41" t="s">
        <v>214</v>
      </c>
    </row>
    <row r="2" spans="1:5" x14ac:dyDescent="0.3">
      <c r="A2" s="53" t="s">
        <v>219</v>
      </c>
    </row>
    <row r="3" spans="1:5" ht="28.8" x14ac:dyDescent="0.3">
      <c r="A3" s="10" t="s">
        <v>215</v>
      </c>
      <c r="B3" t="s">
        <v>1</v>
      </c>
      <c r="D3" s="8" t="s">
        <v>26</v>
      </c>
      <c r="E3" s="13"/>
    </row>
    <row r="4" spans="1:5" x14ac:dyDescent="0.3">
      <c r="B4" s="48"/>
    </row>
    <row r="6" spans="1:5" x14ac:dyDescent="0.3">
      <c r="A6" s="37" t="s">
        <v>216</v>
      </c>
      <c r="B6" t="s">
        <v>1</v>
      </c>
      <c r="D6" s="8" t="s">
        <v>26</v>
      </c>
      <c r="E6" s="13"/>
    </row>
    <row r="7" spans="1:5" x14ac:dyDescent="0.3">
      <c r="B7" s="48"/>
    </row>
    <row r="9" spans="1:5" x14ac:dyDescent="0.3">
      <c r="A9" s="37" t="s">
        <v>217</v>
      </c>
      <c r="B9" t="s">
        <v>1</v>
      </c>
      <c r="D9" s="8" t="s">
        <v>26</v>
      </c>
      <c r="E9" s="13"/>
    </row>
    <row r="10" spans="1:5" x14ac:dyDescent="0.3">
      <c r="B10" s="48"/>
    </row>
    <row r="12" spans="1:5" x14ac:dyDescent="0.3">
      <c r="A12" s="53" t="s">
        <v>220</v>
      </c>
    </row>
    <row r="13" spans="1:5" ht="28.8" x14ac:dyDescent="0.3">
      <c r="A13" s="10" t="s">
        <v>215</v>
      </c>
      <c r="B13" t="s">
        <v>1</v>
      </c>
      <c r="D13" s="8" t="s">
        <v>26</v>
      </c>
      <c r="E13" s="13"/>
    </row>
    <row r="14" spans="1:5" x14ac:dyDescent="0.3">
      <c r="B14" s="48"/>
    </row>
    <row r="16" spans="1:5" x14ac:dyDescent="0.3">
      <c r="A16" s="37" t="s">
        <v>216</v>
      </c>
      <c r="B16" t="s">
        <v>1</v>
      </c>
      <c r="D16" s="8" t="s">
        <v>26</v>
      </c>
      <c r="E16" s="13"/>
    </row>
    <row r="17" spans="1:5" x14ac:dyDescent="0.3">
      <c r="B17" s="48"/>
    </row>
    <row r="19" spans="1:5" x14ac:dyDescent="0.3">
      <c r="A19" s="37" t="s">
        <v>217</v>
      </c>
      <c r="B19" t="s">
        <v>1</v>
      </c>
      <c r="D19" s="8" t="s">
        <v>26</v>
      </c>
      <c r="E19" s="13"/>
    </row>
    <row r="20" spans="1:5" x14ac:dyDescent="0.3">
      <c r="B20" s="48"/>
    </row>
    <row r="22" spans="1:5" x14ac:dyDescent="0.3">
      <c r="A22" s="53" t="s">
        <v>221</v>
      </c>
    </row>
    <row r="23" spans="1:5" ht="28.8" x14ac:dyDescent="0.3">
      <c r="A23" s="10" t="s">
        <v>215</v>
      </c>
      <c r="B23" t="s">
        <v>1</v>
      </c>
      <c r="D23" s="8" t="s">
        <v>26</v>
      </c>
      <c r="E23" s="13"/>
    </row>
    <row r="24" spans="1:5" x14ac:dyDescent="0.3">
      <c r="B24" s="48"/>
    </row>
    <row r="26" spans="1:5" x14ac:dyDescent="0.3">
      <c r="A26" s="37" t="s">
        <v>216</v>
      </c>
      <c r="B26" t="s">
        <v>1</v>
      </c>
      <c r="D26" s="8" t="s">
        <v>26</v>
      </c>
      <c r="E26" s="13"/>
    </row>
    <row r="27" spans="1:5" x14ac:dyDescent="0.3">
      <c r="B27" s="48"/>
    </row>
    <row r="29" spans="1:5" x14ac:dyDescent="0.3">
      <c r="A29" s="37" t="s">
        <v>217</v>
      </c>
      <c r="B29" t="s">
        <v>1</v>
      </c>
      <c r="D29" s="8" t="s">
        <v>26</v>
      </c>
      <c r="E29" s="13"/>
    </row>
    <row r="30" spans="1:5" x14ac:dyDescent="0.3">
      <c r="B30" s="48"/>
    </row>
    <row r="32" spans="1:5" x14ac:dyDescent="0.3">
      <c r="A32" s="53" t="s">
        <v>222</v>
      </c>
    </row>
    <row r="33" spans="1:5" ht="28.8" x14ac:dyDescent="0.3">
      <c r="A33" s="10" t="s">
        <v>215</v>
      </c>
      <c r="B33" t="s">
        <v>1</v>
      </c>
      <c r="D33" s="8" t="s">
        <v>26</v>
      </c>
      <c r="E33" s="13"/>
    </row>
    <row r="34" spans="1:5" x14ac:dyDescent="0.3">
      <c r="B34" s="48"/>
    </row>
    <row r="36" spans="1:5" x14ac:dyDescent="0.3">
      <c r="A36" s="37" t="s">
        <v>216</v>
      </c>
      <c r="B36" t="s">
        <v>1</v>
      </c>
      <c r="D36" s="8" t="s">
        <v>26</v>
      </c>
      <c r="E36" s="13"/>
    </row>
    <row r="37" spans="1:5" x14ac:dyDescent="0.3">
      <c r="B37" s="48"/>
    </row>
    <row r="39" spans="1:5" x14ac:dyDescent="0.3">
      <c r="A39" s="37" t="s">
        <v>217</v>
      </c>
      <c r="B39" t="s">
        <v>1</v>
      </c>
      <c r="D39" s="8" t="s">
        <v>26</v>
      </c>
      <c r="E39" s="13"/>
    </row>
    <row r="40" spans="1:5" x14ac:dyDescent="0.3">
      <c r="B40" s="48"/>
    </row>
    <row r="42" spans="1:5" x14ac:dyDescent="0.3">
      <c r="A42" s="53" t="s">
        <v>223</v>
      </c>
    </row>
    <row r="43" spans="1:5" ht="28.8" x14ac:dyDescent="0.3">
      <c r="A43" s="10" t="s">
        <v>215</v>
      </c>
      <c r="B43" t="s">
        <v>1</v>
      </c>
      <c r="D43" s="8" t="s">
        <v>26</v>
      </c>
      <c r="E43" s="13"/>
    </row>
    <row r="44" spans="1:5" x14ac:dyDescent="0.3">
      <c r="B44" s="48"/>
    </row>
    <row r="46" spans="1:5" x14ac:dyDescent="0.3">
      <c r="A46" s="37" t="s">
        <v>216</v>
      </c>
      <c r="B46" t="s">
        <v>1</v>
      </c>
      <c r="D46" s="8" t="s">
        <v>26</v>
      </c>
      <c r="E46" s="13"/>
    </row>
    <row r="47" spans="1:5" x14ac:dyDescent="0.3">
      <c r="B47" s="48"/>
    </row>
    <row r="49" spans="1:5" x14ac:dyDescent="0.3">
      <c r="A49" s="37" t="s">
        <v>217</v>
      </c>
      <c r="B49" t="s">
        <v>1</v>
      </c>
      <c r="D49" s="8" t="s">
        <v>26</v>
      </c>
      <c r="E49" s="13"/>
    </row>
    <row r="50" spans="1:5" x14ac:dyDescent="0.3">
      <c r="B50" s="48"/>
    </row>
    <row r="52" spans="1:5" x14ac:dyDescent="0.3">
      <c r="A52" s="53" t="s">
        <v>224</v>
      </c>
    </row>
    <row r="53" spans="1:5" ht="28.8" x14ac:dyDescent="0.3">
      <c r="A53" s="10" t="s">
        <v>215</v>
      </c>
      <c r="B53" t="s">
        <v>1</v>
      </c>
      <c r="D53" s="8" t="s">
        <v>26</v>
      </c>
      <c r="E53" s="13"/>
    </row>
    <row r="54" spans="1:5" x14ac:dyDescent="0.3">
      <c r="B54" s="48"/>
    </row>
    <row r="56" spans="1:5" x14ac:dyDescent="0.3">
      <c r="A56" s="37" t="s">
        <v>216</v>
      </c>
      <c r="B56" t="s">
        <v>1</v>
      </c>
      <c r="D56" s="8" t="s">
        <v>26</v>
      </c>
      <c r="E56" s="13"/>
    </row>
    <row r="57" spans="1:5" x14ac:dyDescent="0.3">
      <c r="B57" s="48"/>
    </row>
    <row r="59" spans="1:5" x14ac:dyDescent="0.3">
      <c r="A59" s="37" t="s">
        <v>217</v>
      </c>
      <c r="B59" t="s">
        <v>1</v>
      </c>
      <c r="D59" s="8" t="s">
        <v>26</v>
      </c>
      <c r="E59" s="13"/>
    </row>
    <row r="60" spans="1:5" x14ac:dyDescent="0.3">
      <c r="B60" s="48"/>
    </row>
    <row r="62" spans="1:5" x14ac:dyDescent="0.3">
      <c r="A62" s="53" t="s">
        <v>225</v>
      </c>
    </row>
    <row r="63" spans="1:5" ht="28.8" x14ac:dyDescent="0.3">
      <c r="A63" s="10" t="s">
        <v>215</v>
      </c>
      <c r="B63" t="s">
        <v>1</v>
      </c>
      <c r="D63" s="8" t="s">
        <v>26</v>
      </c>
      <c r="E63" s="13"/>
    </row>
    <row r="64" spans="1:5" x14ac:dyDescent="0.3">
      <c r="B64" s="48"/>
    </row>
    <row r="66" spans="1:5" x14ac:dyDescent="0.3">
      <c r="A66" s="37" t="s">
        <v>216</v>
      </c>
      <c r="B66" t="s">
        <v>1</v>
      </c>
      <c r="D66" s="8" t="s">
        <v>26</v>
      </c>
      <c r="E66" s="13"/>
    </row>
    <row r="67" spans="1:5" x14ac:dyDescent="0.3">
      <c r="B67" s="48"/>
    </row>
    <row r="69" spans="1:5" x14ac:dyDescent="0.3">
      <c r="A69" s="37" t="s">
        <v>217</v>
      </c>
      <c r="B69" t="s">
        <v>1</v>
      </c>
      <c r="D69" s="8" t="s">
        <v>26</v>
      </c>
      <c r="E69" s="13"/>
    </row>
    <row r="70" spans="1:5" x14ac:dyDescent="0.3">
      <c r="B70" s="48"/>
    </row>
    <row r="72" spans="1:5" x14ac:dyDescent="0.3">
      <c r="A72" s="53" t="s">
        <v>226</v>
      </c>
    </row>
    <row r="73" spans="1:5" ht="28.8" x14ac:dyDescent="0.3">
      <c r="A73" s="10" t="s">
        <v>215</v>
      </c>
      <c r="B73" t="s">
        <v>1</v>
      </c>
      <c r="D73" s="8" t="s">
        <v>26</v>
      </c>
      <c r="E73" s="13"/>
    </row>
    <row r="74" spans="1:5" x14ac:dyDescent="0.3">
      <c r="B74" s="48"/>
    </row>
    <row r="76" spans="1:5" x14ac:dyDescent="0.3">
      <c r="A76" s="37" t="s">
        <v>216</v>
      </c>
      <c r="B76" t="s">
        <v>1</v>
      </c>
      <c r="D76" s="8" t="s">
        <v>26</v>
      </c>
      <c r="E76" s="13"/>
    </row>
    <row r="77" spans="1:5" x14ac:dyDescent="0.3">
      <c r="B77" s="48"/>
    </row>
    <row r="79" spans="1:5" x14ac:dyDescent="0.3">
      <c r="A79" s="37" t="s">
        <v>217</v>
      </c>
      <c r="B79" t="s">
        <v>1</v>
      </c>
      <c r="D79" s="8" t="s">
        <v>26</v>
      </c>
      <c r="E79" s="13"/>
    </row>
    <row r="80" spans="1:5" x14ac:dyDescent="0.3">
      <c r="B80" s="48"/>
    </row>
    <row r="82" spans="1:5" x14ac:dyDescent="0.3">
      <c r="A82" s="53" t="s">
        <v>227</v>
      </c>
    </row>
    <row r="83" spans="1:5" ht="28.8" x14ac:dyDescent="0.3">
      <c r="A83" s="10" t="s">
        <v>215</v>
      </c>
      <c r="B83" t="s">
        <v>1</v>
      </c>
      <c r="D83" s="8" t="s">
        <v>26</v>
      </c>
      <c r="E83" s="13"/>
    </row>
    <row r="84" spans="1:5" x14ac:dyDescent="0.3">
      <c r="B84" s="48"/>
    </row>
    <row r="86" spans="1:5" x14ac:dyDescent="0.3">
      <c r="A86" s="37" t="s">
        <v>216</v>
      </c>
      <c r="B86" t="s">
        <v>1</v>
      </c>
      <c r="D86" s="8" t="s">
        <v>26</v>
      </c>
      <c r="E86" s="13"/>
    </row>
    <row r="87" spans="1:5" x14ac:dyDescent="0.3">
      <c r="B87" s="48"/>
    </row>
    <row r="89" spans="1:5" x14ac:dyDescent="0.3">
      <c r="A89" s="37" t="s">
        <v>217</v>
      </c>
      <c r="B89" t="s">
        <v>1</v>
      </c>
      <c r="D89" s="8" t="s">
        <v>26</v>
      </c>
      <c r="E89" s="13"/>
    </row>
    <row r="90" spans="1:5" x14ac:dyDescent="0.3">
      <c r="B90" s="48"/>
    </row>
    <row r="92" spans="1:5" x14ac:dyDescent="0.3">
      <c r="A92" s="53" t="s">
        <v>228</v>
      </c>
    </row>
    <row r="93" spans="1:5" ht="28.8" x14ac:dyDescent="0.3">
      <c r="A93" s="10" t="s">
        <v>215</v>
      </c>
      <c r="B93" t="s">
        <v>1</v>
      </c>
      <c r="D93" s="8" t="s">
        <v>26</v>
      </c>
      <c r="E93" s="13"/>
    </row>
    <row r="94" spans="1:5" x14ac:dyDescent="0.3">
      <c r="B94" s="48"/>
    </row>
    <row r="96" spans="1:5" x14ac:dyDescent="0.3">
      <c r="A96" s="37" t="s">
        <v>216</v>
      </c>
      <c r="B96" t="s">
        <v>1</v>
      </c>
      <c r="D96" s="8" t="s">
        <v>26</v>
      </c>
      <c r="E96" s="13"/>
    </row>
    <row r="97" spans="1:5" x14ac:dyDescent="0.3">
      <c r="B97" s="48"/>
    </row>
    <row r="99" spans="1:5" x14ac:dyDescent="0.3">
      <c r="A99" s="37" t="s">
        <v>217</v>
      </c>
      <c r="B99" t="s">
        <v>1</v>
      </c>
      <c r="D99" s="8" t="s">
        <v>26</v>
      </c>
      <c r="E99" s="13"/>
    </row>
    <row r="100" spans="1:5" x14ac:dyDescent="0.3">
      <c r="B100" s="48"/>
    </row>
    <row r="102" spans="1:5" x14ac:dyDescent="0.3">
      <c r="A102" s="53" t="s">
        <v>229</v>
      </c>
    </row>
    <row r="103" spans="1:5" ht="28.8" x14ac:dyDescent="0.3">
      <c r="A103" s="10" t="s">
        <v>215</v>
      </c>
      <c r="B103" t="s">
        <v>1</v>
      </c>
      <c r="D103" s="8" t="s">
        <v>26</v>
      </c>
      <c r="E103" s="13"/>
    </row>
    <row r="104" spans="1:5" x14ac:dyDescent="0.3">
      <c r="B104" s="48"/>
    </row>
    <row r="106" spans="1:5" x14ac:dyDescent="0.3">
      <c r="A106" s="37" t="s">
        <v>216</v>
      </c>
      <c r="B106" t="s">
        <v>1</v>
      </c>
      <c r="D106" s="8" t="s">
        <v>26</v>
      </c>
      <c r="E106" s="13"/>
    </row>
    <row r="107" spans="1:5" x14ac:dyDescent="0.3">
      <c r="B107" s="48"/>
    </row>
    <row r="109" spans="1:5" x14ac:dyDescent="0.3">
      <c r="A109" s="37" t="s">
        <v>217</v>
      </c>
      <c r="B109" t="s">
        <v>1</v>
      </c>
      <c r="D109" s="8" t="s">
        <v>26</v>
      </c>
      <c r="E109" s="13"/>
    </row>
    <row r="110" spans="1:5" x14ac:dyDescent="0.3">
      <c r="B110" s="48"/>
    </row>
    <row r="112" spans="1:5" x14ac:dyDescent="0.3">
      <c r="A112" s="53" t="s">
        <v>230</v>
      </c>
    </row>
    <row r="113" spans="1:5" ht="28.8" x14ac:dyDescent="0.3">
      <c r="A113" s="10" t="s">
        <v>215</v>
      </c>
      <c r="B113" t="s">
        <v>1</v>
      </c>
      <c r="D113" s="8" t="s">
        <v>26</v>
      </c>
      <c r="E113" s="13"/>
    </row>
    <row r="114" spans="1:5" x14ac:dyDescent="0.3">
      <c r="B114" s="48"/>
    </row>
    <row r="116" spans="1:5" x14ac:dyDescent="0.3">
      <c r="A116" s="37" t="s">
        <v>216</v>
      </c>
      <c r="B116" t="s">
        <v>1</v>
      </c>
      <c r="D116" s="8" t="s">
        <v>26</v>
      </c>
      <c r="E116" s="13"/>
    </row>
    <row r="117" spans="1:5" x14ac:dyDescent="0.3">
      <c r="B117" s="48"/>
    </row>
    <row r="119" spans="1:5" x14ac:dyDescent="0.3">
      <c r="A119" s="37" t="s">
        <v>217</v>
      </c>
      <c r="B119" t="s">
        <v>1</v>
      </c>
      <c r="D119" s="8" t="s">
        <v>26</v>
      </c>
      <c r="E119" s="13"/>
    </row>
    <row r="120" spans="1:5" x14ac:dyDescent="0.3">
      <c r="B120" s="48"/>
    </row>
    <row r="122" spans="1:5" x14ac:dyDescent="0.3">
      <c r="A122" s="53" t="s">
        <v>231</v>
      </c>
    </row>
    <row r="123" spans="1:5" ht="28.8" x14ac:dyDescent="0.3">
      <c r="A123" s="10" t="s">
        <v>215</v>
      </c>
      <c r="B123" t="s">
        <v>1</v>
      </c>
      <c r="D123" s="8" t="s">
        <v>26</v>
      </c>
      <c r="E123" s="13"/>
    </row>
    <row r="124" spans="1:5" x14ac:dyDescent="0.3">
      <c r="B124" s="48"/>
    </row>
    <row r="126" spans="1:5" x14ac:dyDescent="0.3">
      <c r="A126" s="37" t="s">
        <v>216</v>
      </c>
      <c r="B126" t="s">
        <v>1</v>
      </c>
      <c r="D126" s="8" t="s">
        <v>26</v>
      </c>
      <c r="E126" s="13"/>
    </row>
    <row r="127" spans="1:5" x14ac:dyDescent="0.3">
      <c r="B127" s="48"/>
    </row>
    <row r="129" spans="1:5" x14ac:dyDescent="0.3">
      <c r="A129" s="37" t="s">
        <v>217</v>
      </c>
      <c r="B129" t="s">
        <v>1</v>
      </c>
      <c r="D129" s="8" t="s">
        <v>26</v>
      </c>
      <c r="E129" s="13"/>
    </row>
    <row r="130" spans="1:5" x14ac:dyDescent="0.3">
      <c r="B130" s="48"/>
    </row>
    <row r="132" spans="1:5" x14ac:dyDescent="0.3">
      <c r="A132" s="53" t="s">
        <v>232</v>
      </c>
    </row>
    <row r="133" spans="1:5" ht="28.8" x14ac:dyDescent="0.3">
      <c r="A133" s="10" t="s">
        <v>215</v>
      </c>
      <c r="B133" t="s">
        <v>1</v>
      </c>
      <c r="D133" s="8" t="s">
        <v>26</v>
      </c>
      <c r="E133" s="13"/>
    </row>
    <row r="134" spans="1:5" x14ac:dyDescent="0.3">
      <c r="B134" s="48"/>
    </row>
    <row r="136" spans="1:5" x14ac:dyDescent="0.3">
      <c r="A136" s="37" t="s">
        <v>216</v>
      </c>
      <c r="B136" t="s">
        <v>1</v>
      </c>
      <c r="D136" s="8" t="s">
        <v>26</v>
      </c>
      <c r="E136" s="13"/>
    </row>
    <row r="137" spans="1:5" x14ac:dyDescent="0.3">
      <c r="B137" s="48"/>
    </row>
    <row r="139" spans="1:5" x14ac:dyDescent="0.3">
      <c r="A139" s="37" t="s">
        <v>217</v>
      </c>
      <c r="B139" t="s">
        <v>1</v>
      </c>
      <c r="D139" s="8" t="s">
        <v>26</v>
      </c>
      <c r="E139" s="13"/>
    </row>
    <row r="140" spans="1:5" x14ac:dyDescent="0.3">
      <c r="B140" s="48"/>
    </row>
    <row r="142" spans="1:5" x14ac:dyDescent="0.3">
      <c r="A142" s="53" t="s">
        <v>233</v>
      </c>
    </row>
    <row r="143" spans="1:5" ht="28.8" x14ac:dyDescent="0.3">
      <c r="A143" s="10" t="s">
        <v>215</v>
      </c>
      <c r="B143" t="s">
        <v>1</v>
      </c>
      <c r="D143" s="8" t="s">
        <v>26</v>
      </c>
      <c r="E143" s="13"/>
    </row>
    <row r="144" spans="1:5" x14ac:dyDescent="0.3">
      <c r="B144" s="48"/>
    </row>
    <row r="146" spans="1:5" x14ac:dyDescent="0.3">
      <c r="A146" s="37" t="s">
        <v>216</v>
      </c>
      <c r="B146" t="s">
        <v>1</v>
      </c>
      <c r="D146" s="8" t="s">
        <v>26</v>
      </c>
      <c r="E146" s="13"/>
    </row>
    <row r="147" spans="1:5" x14ac:dyDescent="0.3">
      <c r="B147" s="48"/>
    </row>
    <row r="149" spans="1:5" x14ac:dyDescent="0.3">
      <c r="A149" s="37" t="s">
        <v>217</v>
      </c>
      <c r="B149" t="s">
        <v>1</v>
      </c>
      <c r="D149" s="8" t="s">
        <v>26</v>
      </c>
      <c r="E149" s="13"/>
    </row>
    <row r="150" spans="1:5" x14ac:dyDescent="0.3">
      <c r="B150" s="48"/>
    </row>
    <row r="152" spans="1:5" x14ac:dyDescent="0.3">
      <c r="A152" s="53" t="s">
        <v>234</v>
      </c>
    </row>
    <row r="153" spans="1:5" ht="28.8" x14ac:dyDescent="0.3">
      <c r="A153" s="10" t="s">
        <v>215</v>
      </c>
      <c r="B153" t="s">
        <v>1</v>
      </c>
      <c r="D153" s="8" t="s">
        <v>26</v>
      </c>
      <c r="E153" s="13"/>
    </row>
    <row r="154" spans="1:5" x14ac:dyDescent="0.3">
      <c r="B154" s="48"/>
    </row>
    <row r="156" spans="1:5" x14ac:dyDescent="0.3">
      <c r="A156" s="37" t="s">
        <v>216</v>
      </c>
      <c r="B156" t="s">
        <v>1</v>
      </c>
      <c r="D156" s="8" t="s">
        <v>26</v>
      </c>
      <c r="E156" s="13"/>
    </row>
    <row r="157" spans="1:5" x14ac:dyDescent="0.3">
      <c r="B157" s="48"/>
    </row>
    <row r="159" spans="1:5" x14ac:dyDescent="0.3">
      <c r="A159" s="37" t="s">
        <v>217</v>
      </c>
      <c r="B159" t="s">
        <v>1</v>
      </c>
      <c r="D159" s="8" t="s">
        <v>26</v>
      </c>
      <c r="E159" s="13"/>
    </row>
    <row r="160" spans="1:5" x14ac:dyDescent="0.3">
      <c r="B160" s="48"/>
    </row>
    <row r="162" spans="1:5" x14ac:dyDescent="0.3">
      <c r="A162" s="53" t="s">
        <v>235</v>
      </c>
    </row>
    <row r="163" spans="1:5" ht="28.8" x14ac:dyDescent="0.3">
      <c r="A163" s="10" t="s">
        <v>215</v>
      </c>
      <c r="B163" t="s">
        <v>1</v>
      </c>
      <c r="D163" s="8" t="s">
        <v>26</v>
      </c>
      <c r="E163" s="13"/>
    </row>
    <row r="164" spans="1:5" x14ac:dyDescent="0.3">
      <c r="B164" s="48"/>
    </row>
    <row r="166" spans="1:5" x14ac:dyDescent="0.3">
      <c r="A166" s="37" t="s">
        <v>216</v>
      </c>
      <c r="B166" t="s">
        <v>1</v>
      </c>
      <c r="D166" s="8" t="s">
        <v>26</v>
      </c>
      <c r="E166" s="13"/>
    </row>
    <row r="167" spans="1:5" x14ac:dyDescent="0.3">
      <c r="B167" s="48"/>
    </row>
    <row r="169" spans="1:5" x14ac:dyDescent="0.3">
      <c r="A169" s="37" t="s">
        <v>217</v>
      </c>
      <c r="B169" t="s">
        <v>1</v>
      </c>
      <c r="D169" s="8" t="s">
        <v>26</v>
      </c>
      <c r="E169" s="13"/>
    </row>
    <row r="170" spans="1:5" x14ac:dyDescent="0.3">
      <c r="B170" s="48"/>
    </row>
    <row r="173" spans="1:5" x14ac:dyDescent="0.3">
      <c r="A173" s="1" t="s">
        <v>2</v>
      </c>
      <c r="D173" s="8" t="s">
        <v>3</v>
      </c>
    </row>
    <row r="174" spans="1:5" x14ac:dyDescent="0.3">
      <c r="A174" s="5"/>
      <c r="D174" s="9"/>
    </row>
  </sheetData>
  <sheetProtection sheet="1" objects="1" scenarios="1"/>
  <protectedRanges>
    <protectedRange sqref="B144 B147 B150 B154 B157 B160 B164 B167 B170" name="Answers_15_16_17"/>
    <protectedRange sqref="B44 B47 B50 B54 B57 B60 B64 B67 B70 B74 B77 B80" name="Answers_5_6_7_8"/>
    <protectedRange sqref="B4 B7 B10 B14 B17 B20" name="Answers_1_2"/>
    <protectedRange sqref="B3 B6 B9 B13 B16 B19 B23 B26 B29 B33 B36 B39 B43 B46 B49 B53 B56 B59 B63 B66 B69 B73 B76 B79 B83 B86 B89 B93 B96 B99 B103 B106 B109 B113 B116 B119 B123 B126 B129 B133 B136 B139 B143 B146 B149 B153 B156 B159 B163 B166 B169" name="Choice"/>
    <protectedRange sqref="E3 E6 E9 E13 E16 E19 E23 E26 E29 E33 E36 E39 E43 E46 E49 E53 E56 E59 E63 E66 E69 E73 E76 E79 E83 E86 E89 E93 E96 E99 E103 E106 E109 E113 E116 E119 E123 E126 E129 E133 E136 E139 E143 E146 E149 E153 E156 E159 E163 E166 E169" name="Reference_2_1_1"/>
    <protectedRange sqref="D174" name="Rating"/>
    <protectedRange sqref="A174" name="Comments_1"/>
    <protectedRange sqref="B24 B30 B34 B37 B40" name="Answers_3_4"/>
    <protectedRange sqref="B84 B87 B90 B94 B97 B100 B104 B107 B110 B114 B117 B120 B124 B127 B130 B134 B137 B140" name="Answers_9_10_11_12_13_14"/>
  </protectedRanges>
  <dataValidations count="3">
    <dataValidation type="list" allowBlank="1" showInputMessage="1" showErrorMessage="1" sqref="D174" xr:uid="{192894BA-E2A6-4BC0-B464-FBD1437F768C}">
      <formula1>"0,1,2,3,4,5"</formula1>
    </dataValidation>
    <dataValidation type="textLength" allowBlank="1" showInputMessage="1" showErrorMessage="1" sqref="A174" xr:uid="{127BD507-EEAC-499D-92B5-6EF12AE20D6F}">
      <formula1>0</formula1>
      <formula2>10000</formula2>
    </dataValidation>
    <dataValidation type="list" allowBlank="1" showInputMessage="1" showErrorMessage="1" sqref="B3 B6 B9 B13 B16 B19 B23 B26 B29 B33 B36 B39 B43 B46 B49 B53 B56 B59 B63 B66 B69 B73 B76 B79 B83 B86 B89 B93 B96 B99 B103 B106 B109 B113 B116 B119 B123 B126 B129 B133 B136 B139 B143 B146 B149 B153 B156 B159 B163 B166 B169" xr:uid="{BBDE15FA-735A-405F-8326-2E3A2AD423DF}">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8D1B79A-F5F0-451B-9875-324E95D2A734}">
          <x14:formula1>
            <xm:f>'63-ranges'!$A$10:$A$14</xm:f>
          </x14:formula1>
          <xm:sqref>B7 B17 B27 B37 B47 B57 B67 B77 B87 B97 B107 B117 B127 B137 B147 B157 B167</xm:sqref>
        </x14:dataValidation>
        <x14:dataValidation type="list" allowBlank="1" showInputMessage="1" showErrorMessage="1" xr:uid="{19ECD56F-1CF5-4ED5-B1AB-7B5D7CA0971E}">
          <x14:formula1>
            <xm:f>'63-ranges'!$A$2:$A$6</xm:f>
          </x14:formula1>
          <xm:sqref>B4 B164 B154 B144 B134 B124 B114 B104 B94 B84 B74 B64 B54 B44 B34 B24 B14</xm:sqref>
        </x14:dataValidation>
        <x14:dataValidation type="list" allowBlank="1" showInputMessage="1" showErrorMessage="1" xr:uid="{FE06DB80-E769-42D2-B824-B6CD5AF27B2D}">
          <x14:formula1>
            <xm:f>'63-ranges'!$A$17:$A$22</xm:f>
          </x14:formula1>
          <xm:sqref>B10 B170 B160 B150 B140 B130 B120 B110 B100 B90 B80 B70 B60 B50 B40 B30 B20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F73B-8481-4262-BA1D-9F9C1082CBE8}">
  <sheetPr codeName="Sheet30"/>
  <dimension ref="A1:A22"/>
  <sheetViews>
    <sheetView workbookViewId="0">
      <selection activeCell="A17" sqref="A17:XFD17"/>
    </sheetView>
  </sheetViews>
  <sheetFormatPr defaultRowHeight="14.4" x14ac:dyDescent="0.3"/>
  <sheetData>
    <row r="1" spans="1:1" x14ac:dyDescent="0.3">
      <c r="A1">
        <v>1</v>
      </c>
    </row>
    <row r="2" spans="1:1" x14ac:dyDescent="0.3">
      <c r="A2" t="s">
        <v>236</v>
      </c>
    </row>
    <row r="3" spans="1:1" x14ac:dyDescent="0.3">
      <c r="A3" t="s">
        <v>237</v>
      </c>
    </row>
    <row r="4" spans="1:1" x14ac:dyDescent="0.3">
      <c r="A4" t="s">
        <v>238</v>
      </c>
    </row>
    <row r="5" spans="1:1" x14ac:dyDescent="0.3">
      <c r="A5" t="s">
        <v>239</v>
      </c>
    </row>
    <row r="6" spans="1:1" x14ac:dyDescent="0.3">
      <c r="A6" t="s">
        <v>240</v>
      </c>
    </row>
    <row r="9" spans="1:1" x14ac:dyDescent="0.3">
      <c r="A9">
        <v>2</v>
      </c>
    </row>
    <row r="10" spans="1:1" x14ac:dyDescent="0.3">
      <c r="A10" t="s">
        <v>241</v>
      </c>
    </row>
    <row r="11" spans="1:1" x14ac:dyDescent="0.3">
      <c r="A11" t="s">
        <v>242</v>
      </c>
    </row>
    <row r="12" spans="1:1" x14ac:dyDescent="0.3">
      <c r="A12" t="s">
        <v>243</v>
      </c>
    </row>
    <row r="13" spans="1:1" x14ac:dyDescent="0.3">
      <c r="A13" t="s">
        <v>244</v>
      </c>
    </row>
    <row r="14" spans="1:1" x14ac:dyDescent="0.3">
      <c r="A14" t="s">
        <v>245</v>
      </c>
    </row>
    <row r="16" spans="1:1" x14ac:dyDescent="0.3">
      <c r="A16">
        <v>3</v>
      </c>
    </row>
    <row r="17" spans="1:1" x14ac:dyDescent="0.3">
      <c r="A17" t="s">
        <v>246</v>
      </c>
    </row>
    <row r="18" spans="1:1" x14ac:dyDescent="0.3">
      <c r="A18" t="s">
        <v>247</v>
      </c>
    </row>
    <row r="19" spans="1:1" x14ac:dyDescent="0.3">
      <c r="A19" t="s">
        <v>248</v>
      </c>
    </row>
    <row r="20" spans="1:1" x14ac:dyDescent="0.3">
      <c r="A20" t="s">
        <v>249</v>
      </c>
    </row>
    <row r="21" spans="1:1" x14ac:dyDescent="0.3">
      <c r="A21" t="s">
        <v>250</v>
      </c>
    </row>
    <row r="22" spans="1:1" x14ac:dyDescent="0.3">
      <c r="A22" t="s">
        <v>251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E900-8656-4653-BB66-FA0FFE7ACF16}">
  <sheetPr codeName="Sheet33"/>
  <dimension ref="A1:E27"/>
  <sheetViews>
    <sheetView workbookViewId="0"/>
  </sheetViews>
  <sheetFormatPr defaultRowHeight="14.4" x14ac:dyDescent="0.3"/>
  <cols>
    <col min="1" max="1" width="77.5546875" customWidth="1"/>
    <col min="2" max="2" width="30.21875" customWidth="1"/>
    <col min="4" max="4" width="10.21875" bestFit="1" customWidth="1"/>
    <col min="5" max="5" width="82.5546875" customWidth="1"/>
  </cols>
  <sheetData>
    <row r="1" spans="1:5" ht="18" x14ac:dyDescent="0.35">
      <c r="A1" s="41" t="s">
        <v>192</v>
      </c>
    </row>
    <row r="2" spans="1:5" ht="28.8" x14ac:dyDescent="0.3">
      <c r="A2" s="10" t="s">
        <v>316</v>
      </c>
      <c r="B2" t="s">
        <v>1</v>
      </c>
      <c r="D2" s="8" t="s">
        <v>26</v>
      </c>
      <c r="E2" s="13"/>
    </row>
    <row r="3" spans="1:5" x14ac:dyDescent="0.3">
      <c r="A3" s="45" t="s">
        <v>134</v>
      </c>
      <c r="B3" s="5"/>
    </row>
    <row r="4" spans="1:5" x14ac:dyDescent="0.3">
      <c r="A4" s="45" t="s">
        <v>160</v>
      </c>
      <c r="B4" s="5"/>
    </row>
    <row r="5" spans="1:5" ht="28.8" x14ac:dyDescent="0.3">
      <c r="A5" s="45" t="s">
        <v>161</v>
      </c>
      <c r="B5" s="5"/>
    </row>
    <row r="6" spans="1:5" ht="43.2" x14ac:dyDescent="0.3">
      <c r="A6" s="45" t="s">
        <v>318</v>
      </c>
      <c r="B6" s="5"/>
    </row>
    <row r="7" spans="1:5" x14ac:dyDescent="0.3">
      <c r="A7" s="45" t="s">
        <v>162</v>
      </c>
      <c r="B7" s="5"/>
    </row>
    <row r="8" spans="1:5" ht="28.8" x14ac:dyDescent="0.3">
      <c r="A8" s="45" t="s">
        <v>163</v>
      </c>
      <c r="B8" s="5"/>
    </row>
    <row r="9" spans="1:5" x14ac:dyDescent="0.3">
      <c r="A9" s="45" t="s">
        <v>164</v>
      </c>
      <c r="B9" s="5"/>
    </row>
    <row r="10" spans="1:5" ht="28.8" x14ac:dyDescent="0.3">
      <c r="A10" s="37" t="s">
        <v>317</v>
      </c>
      <c r="B10" t="s">
        <v>1</v>
      </c>
      <c r="D10" s="8" t="s">
        <v>26</v>
      </c>
      <c r="E10" s="13"/>
    </row>
    <row r="11" spans="1:5" x14ac:dyDescent="0.3">
      <c r="A11" s="45" t="s">
        <v>165</v>
      </c>
      <c r="B11" s="5"/>
    </row>
    <row r="12" spans="1:5" x14ac:dyDescent="0.3">
      <c r="A12" s="45" t="s">
        <v>166</v>
      </c>
      <c r="B12" s="5"/>
    </row>
    <row r="13" spans="1:5" ht="28.8" x14ac:dyDescent="0.3">
      <c r="A13" s="45" t="s">
        <v>167</v>
      </c>
      <c r="B13" s="5"/>
    </row>
    <row r="14" spans="1:5" ht="43.2" x14ac:dyDescent="0.3">
      <c r="A14" s="45" t="s">
        <v>319</v>
      </c>
      <c r="B14" s="5"/>
    </row>
    <row r="15" spans="1:5" ht="43.2" x14ac:dyDescent="0.3">
      <c r="A15" s="45" t="s">
        <v>168</v>
      </c>
      <c r="B15" s="5"/>
    </row>
    <row r="16" spans="1:5" x14ac:dyDescent="0.3">
      <c r="A16" s="45"/>
    </row>
    <row r="17" spans="1:4" x14ac:dyDescent="0.3">
      <c r="A17" s="1" t="s">
        <v>2</v>
      </c>
      <c r="D17" s="8" t="s">
        <v>3</v>
      </c>
    </row>
    <row r="18" spans="1:4" x14ac:dyDescent="0.3">
      <c r="A18" s="5"/>
      <c r="D18" s="9"/>
    </row>
    <row r="19" spans="1:4" x14ac:dyDescent="0.3">
      <c r="A19" s="45"/>
    </row>
    <row r="20" spans="1:4" x14ac:dyDescent="0.3">
      <c r="A20" s="45"/>
    </row>
    <row r="21" spans="1:4" ht="15" customHeight="1" x14ac:dyDescent="0.3">
      <c r="A21" s="45"/>
    </row>
    <row r="22" spans="1:4" x14ac:dyDescent="0.3">
      <c r="A22" s="45"/>
    </row>
    <row r="23" spans="1:4" x14ac:dyDescent="0.3">
      <c r="A23" s="45"/>
    </row>
    <row r="24" spans="1:4" x14ac:dyDescent="0.3">
      <c r="A24" s="45"/>
    </row>
    <row r="25" spans="1:4" x14ac:dyDescent="0.3">
      <c r="A25" s="45"/>
    </row>
    <row r="26" spans="1:4" x14ac:dyDescent="0.3">
      <c r="A26" s="45"/>
    </row>
    <row r="27" spans="1:4" x14ac:dyDescent="0.3">
      <c r="A27" s="45"/>
    </row>
  </sheetData>
  <sheetProtection sheet="1" objects="1" scenarios="1"/>
  <protectedRanges>
    <protectedRange sqref="A18" name="Comments"/>
    <protectedRange sqref="D18" name="Rating"/>
    <protectedRange sqref="E2" name="Reference_2_1_1"/>
    <protectedRange sqref="E10" name="Reference_2_1_1_1"/>
    <protectedRange sqref="B2 B10" name="Choice"/>
    <protectedRange sqref="B3:B9 B12:B15" name="Answers_1"/>
    <protectedRange sqref="B11" name="Answers_1_1"/>
  </protectedRanges>
  <dataValidations xWindow="692" yWindow="564" count="4">
    <dataValidation type="list" allowBlank="1" showInputMessage="1" showErrorMessage="1" sqref="D18" xr:uid="{72945D0C-7FAD-4BEF-B073-3C496C62DE3D}">
      <formula1>"0,1,2,3,4,5"</formula1>
    </dataValidation>
    <dataValidation type="textLength" allowBlank="1" showInputMessage="1" showErrorMessage="1" sqref="A18" xr:uid="{7B58D928-3581-48DC-871C-0A87456D7DA1}">
      <formula1>0</formula1>
      <formula2>10000</formula2>
    </dataValidation>
    <dataValidation type="list" allowBlank="1" showInputMessage="1" showErrorMessage="1" sqref="B3:B9 B11:B15" xr:uid="{2A213169-5AD0-4E22-AB73-C460455FA981}">
      <formula1>"Yes"</formula1>
    </dataValidation>
    <dataValidation type="list" allowBlank="1" showErrorMessage="1" prompt="Select the arrow to the right to activate the drop-down menu." sqref="B2 B10" xr:uid="{D14FC766-94BC-47FF-897A-8D0262A36D57}">
      <formula1>"Choose answer, Data not available/Not willing to share"</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C644B-5863-40F1-8867-521E7CF7B3A2}">
  <sheetPr codeName="Sheet34"/>
  <dimension ref="A1:E14"/>
  <sheetViews>
    <sheetView workbookViewId="0"/>
  </sheetViews>
  <sheetFormatPr defaultRowHeight="14.4" x14ac:dyDescent="0.3"/>
  <cols>
    <col min="1" max="1" width="77.5546875" customWidth="1"/>
    <col min="2" max="2" width="17" customWidth="1"/>
    <col min="4" max="4" width="10.21875" bestFit="1" customWidth="1"/>
    <col min="5" max="5" width="77.77734375" customWidth="1"/>
  </cols>
  <sheetData>
    <row r="1" spans="1:5" ht="18" x14ac:dyDescent="0.35">
      <c r="A1" s="41" t="s">
        <v>193</v>
      </c>
    </row>
    <row r="2" spans="1:5" ht="28.8" x14ac:dyDescent="0.3">
      <c r="A2" s="10" t="s">
        <v>320</v>
      </c>
      <c r="B2" t="s">
        <v>1</v>
      </c>
      <c r="D2" s="8" t="s">
        <v>26</v>
      </c>
      <c r="E2" s="13"/>
    </row>
    <row r="3" spans="1:5" x14ac:dyDescent="0.3">
      <c r="A3" s="45" t="s">
        <v>169</v>
      </c>
      <c r="B3" s="5"/>
    </row>
    <row r="4" spans="1:5" x14ac:dyDescent="0.3">
      <c r="A4" s="45" t="s">
        <v>322</v>
      </c>
      <c r="B4" s="5"/>
    </row>
    <row r="5" spans="1:5" x14ac:dyDescent="0.3">
      <c r="A5" s="45" t="s">
        <v>323</v>
      </c>
      <c r="B5" s="5"/>
    </row>
    <row r="6" spans="1:5" x14ac:dyDescent="0.3">
      <c r="A6" s="45" t="s">
        <v>324</v>
      </c>
      <c r="B6" s="5"/>
    </row>
    <row r="7" spans="1:5" ht="28.8" x14ac:dyDescent="0.3">
      <c r="A7" s="10" t="s">
        <v>321</v>
      </c>
      <c r="B7" t="s">
        <v>1</v>
      </c>
      <c r="D7" s="8" t="s">
        <v>26</v>
      </c>
      <c r="E7" s="13"/>
    </row>
    <row r="8" spans="1:5" x14ac:dyDescent="0.3">
      <c r="A8" s="45" t="s">
        <v>325</v>
      </c>
      <c r="B8" s="5"/>
    </row>
    <row r="9" spans="1:5" x14ac:dyDescent="0.3">
      <c r="A9" s="45" t="s">
        <v>326</v>
      </c>
      <c r="B9" s="5"/>
    </row>
    <row r="10" spans="1:5" x14ac:dyDescent="0.3">
      <c r="A10" s="45" t="s">
        <v>327</v>
      </c>
      <c r="B10" s="5"/>
    </row>
    <row r="11" spans="1:5" ht="28.8" x14ac:dyDescent="0.3">
      <c r="A11" s="45" t="s">
        <v>328</v>
      </c>
      <c r="B11" s="5"/>
    </row>
    <row r="13" spans="1:5" x14ac:dyDescent="0.3">
      <c r="A13" s="1" t="s">
        <v>2</v>
      </c>
      <c r="D13" s="8" t="s">
        <v>3</v>
      </c>
    </row>
    <row r="14" spans="1:5" x14ac:dyDescent="0.3">
      <c r="A14" s="5"/>
      <c r="D14" s="9"/>
    </row>
  </sheetData>
  <sheetProtection sheet="1" objects="1" scenarios="1"/>
  <protectedRanges>
    <protectedRange sqref="A14" name="Comments"/>
    <protectedRange sqref="D14" name="Rating"/>
    <protectedRange sqref="E2" name="Reference_2_1_1"/>
    <protectedRange sqref="E7" name="Reference_2_1_1_1"/>
    <protectedRange sqref="B2 B7" name="Choice"/>
    <protectedRange sqref="B3:B6 B9:B11" name="Answers_1"/>
    <protectedRange sqref="B8" name="Answers_1_1"/>
  </protectedRanges>
  <dataValidations count="4">
    <dataValidation type="list" allowBlank="1" showInputMessage="1" showErrorMessage="1" sqref="D14" xr:uid="{603FEC69-CFF0-485B-9C4B-9A9CB0989BE3}">
      <formula1>"0,1,2,3,4,5"</formula1>
    </dataValidation>
    <dataValidation type="textLength" allowBlank="1" showInputMessage="1" showErrorMessage="1" sqref="A14" xr:uid="{899CA994-EDC6-4591-B2BE-8C8813808057}">
      <formula1>0</formula1>
      <formula2>10000</formula2>
    </dataValidation>
    <dataValidation type="list" allowBlank="1" showInputMessage="1" showErrorMessage="1" sqref="B3:B6 B8:B11" xr:uid="{307E5166-93D2-442E-83C8-0ED4554400D9}">
      <formula1>"Yes"</formula1>
    </dataValidation>
    <dataValidation type="list" allowBlank="1" showErrorMessage="1" prompt="Select the arrow to the right to activate the drop-down menu." sqref="B2 B7" xr:uid="{52AB188A-E535-414D-BF36-040F148F2BBF}">
      <formula1>"Choose answer, Data not available/Not willing to share"</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7947-B57D-4E0C-9041-5E8ED771B9FE}">
  <sheetPr codeName="Sheet35"/>
  <dimension ref="A1:F18"/>
  <sheetViews>
    <sheetView workbookViewId="0"/>
  </sheetViews>
  <sheetFormatPr defaultRowHeight="14.4" x14ac:dyDescent="0.3"/>
  <cols>
    <col min="1" max="1" width="95.5546875" customWidth="1"/>
    <col min="2" max="2" width="95.5546875" hidden="1" customWidth="1"/>
    <col min="3" max="3" width="31.21875" customWidth="1"/>
    <col min="5" max="5" width="10.21875" bestFit="1" customWidth="1"/>
    <col min="6" max="6" width="84.77734375" customWidth="1"/>
  </cols>
  <sheetData>
    <row r="1" spans="1:6" ht="18" x14ac:dyDescent="0.35">
      <c r="A1" s="41" t="s">
        <v>194</v>
      </c>
      <c r="B1" s="41"/>
    </row>
    <row r="2" spans="1:6" ht="28.8" x14ac:dyDescent="0.3">
      <c r="A2" s="10" t="s">
        <v>356</v>
      </c>
      <c r="B2" s="10"/>
      <c r="C2" t="s">
        <v>1</v>
      </c>
      <c r="E2" s="8" t="s">
        <v>26</v>
      </c>
      <c r="F2" s="13"/>
    </row>
    <row r="3" spans="1:6" x14ac:dyDescent="0.3">
      <c r="A3" s="12" t="s">
        <v>170</v>
      </c>
      <c r="B3" s="12" t="s">
        <v>170</v>
      </c>
      <c r="C3" s="5"/>
    </row>
    <row r="4" spans="1:6" x14ac:dyDescent="0.3">
      <c r="A4" s="40" t="s">
        <v>171</v>
      </c>
      <c r="B4" s="40" t="s">
        <v>171</v>
      </c>
      <c r="C4" s="5"/>
    </row>
    <row r="5" spans="1:6" ht="28.8" x14ac:dyDescent="0.3">
      <c r="A5" s="40" t="s">
        <v>172</v>
      </c>
      <c r="B5" s="40" t="s">
        <v>172</v>
      </c>
      <c r="C5" s="5"/>
    </row>
    <row r="6" spans="1:6" ht="57.6" x14ac:dyDescent="0.3">
      <c r="A6" s="54" t="s">
        <v>173</v>
      </c>
      <c r="B6" s="40" t="str">
        <f>LEFT(A6,255)</f>
        <v>Supply chain security, including security-related aspects concerning the relationships between each entity and its direct suppliers or service providers (e.g. application of security standards to ensure baseline information security requirements for ICT p</v>
      </c>
      <c r="C6" s="5"/>
    </row>
    <row r="7" spans="1:6" ht="28.8" x14ac:dyDescent="0.3">
      <c r="A7" s="40" t="s">
        <v>174</v>
      </c>
      <c r="B7" s="40" t="s">
        <v>174</v>
      </c>
      <c r="C7" s="5"/>
    </row>
    <row r="8" spans="1:6" x14ac:dyDescent="0.3">
      <c r="A8" s="40" t="s">
        <v>175</v>
      </c>
      <c r="B8" s="40" t="s">
        <v>175</v>
      </c>
      <c r="C8" s="5"/>
    </row>
    <row r="9" spans="1:6" x14ac:dyDescent="0.3">
      <c r="A9" s="40" t="s">
        <v>176</v>
      </c>
      <c r="B9" s="40" t="s">
        <v>176</v>
      </c>
      <c r="C9" s="5"/>
    </row>
    <row r="10" spans="1:6" x14ac:dyDescent="0.3">
      <c r="A10" s="40" t="s">
        <v>177</v>
      </c>
      <c r="B10" s="40" t="s">
        <v>177</v>
      </c>
      <c r="C10" s="5"/>
    </row>
    <row r="11" spans="1:6" x14ac:dyDescent="0.3">
      <c r="A11" s="40" t="s">
        <v>178</v>
      </c>
      <c r="B11" s="40" t="s">
        <v>178</v>
      </c>
      <c r="C11" s="5"/>
    </row>
    <row r="12" spans="1:6" ht="28.8" x14ac:dyDescent="0.3">
      <c r="A12" s="40" t="s">
        <v>357</v>
      </c>
      <c r="B12" s="40" t="s">
        <v>357</v>
      </c>
      <c r="C12" s="5"/>
    </row>
    <row r="13" spans="1:6" x14ac:dyDescent="0.3">
      <c r="A13" s="31" t="s">
        <v>153</v>
      </c>
      <c r="B13" s="31" t="s">
        <v>153</v>
      </c>
      <c r="C13" s="5"/>
    </row>
    <row r="14" spans="1:6" ht="28.8" x14ac:dyDescent="0.3">
      <c r="A14" s="10" t="s">
        <v>358</v>
      </c>
      <c r="B14" s="10"/>
      <c r="C14" t="s">
        <v>1</v>
      </c>
      <c r="E14" s="8" t="s">
        <v>26</v>
      </c>
      <c r="F14" s="13"/>
    </row>
    <row r="15" spans="1:6" x14ac:dyDescent="0.3">
      <c r="A15" s="12"/>
      <c r="B15" s="12"/>
      <c r="C15" s="15"/>
    </row>
    <row r="17" spans="1:5" x14ac:dyDescent="0.3">
      <c r="A17" s="1" t="s">
        <v>2</v>
      </c>
      <c r="B17" s="1"/>
      <c r="E17" s="8" t="s">
        <v>3</v>
      </c>
    </row>
    <row r="18" spans="1:5" x14ac:dyDescent="0.3">
      <c r="A18" s="5"/>
      <c r="B18" s="55"/>
      <c r="E18" s="9"/>
    </row>
  </sheetData>
  <sheetProtection sheet="1" objects="1" scenarios="1"/>
  <protectedRanges>
    <protectedRange sqref="A18:B18" name="Comments"/>
    <protectedRange sqref="E18" name="Rating"/>
    <protectedRange sqref="F14" name="Reference_2_1_1"/>
    <protectedRange sqref="F2" name="Reference_2_1_1_2"/>
    <protectedRange sqref="C2 C14" name="Choice"/>
    <protectedRange sqref="C3:C13" name="Answers_1"/>
    <protectedRange sqref="C15" name="Answers_224"/>
  </protectedRanges>
  <dataValidations count="5">
    <dataValidation type="list" allowBlank="1" showInputMessage="1" showErrorMessage="1" sqref="E18" xr:uid="{173BD8D6-6E0F-4FC2-8483-4213064DAA46}">
      <formula1>"0,1,2,3,4,5"</formula1>
    </dataValidation>
    <dataValidation type="textLength" allowBlank="1" showInputMessage="1" showErrorMessage="1" sqref="A18:B18" xr:uid="{23F0D5FC-4172-44C5-A714-BA18E5A0B4AD}">
      <formula1>0</formula1>
      <formula2>10000</formula2>
    </dataValidation>
    <dataValidation type="list" allowBlank="1" showInputMessage="1" showErrorMessage="1" sqref="C3:C13" xr:uid="{3C42839D-2DDF-4BDF-A972-3C6A96524D84}">
      <formula1>"Yes"</formula1>
    </dataValidation>
    <dataValidation type="list" allowBlank="1" showInputMessage="1" showErrorMessage="1" prompt="Select the arrow to the right to activate the drop-down menu." sqref="C15" xr:uid="{8E19D5EA-8002-44A7-8660-C0358FFEB699}">
      <formula1>"0-20%, 21-40%, 41-60%, 61-80%, 81-100%"</formula1>
    </dataValidation>
    <dataValidation type="list" allowBlank="1" showErrorMessage="1" prompt="Select the arrow to the right to activate the drop-down menu." sqref="C2 C14" xr:uid="{6C1BEC8B-3593-4EE9-AEDA-CFB091659874}">
      <formula1>"Choose answer, Data not available/Not willing to share"</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5D03E-0C60-4105-B6E1-1D17B960DB65}">
  <sheetPr codeName="Sheet36"/>
  <dimension ref="A1:D9"/>
  <sheetViews>
    <sheetView workbookViewId="0"/>
  </sheetViews>
  <sheetFormatPr defaultRowHeight="14.4" x14ac:dyDescent="0.3"/>
  <cols>
    <col min="1" max="1" width="106.77734375" bestFit="1" customWidth="1"/>
    <col min="2" max="2" width="36.21875" customWidth="1"/>
    <col min="3" max="3" width="29" customWidth="1"/>
    <col min="4" max="4" width="82" customWidth="1"/>
  </cols>
  <sheetData>
    <row r="1" spans="1:4" ht="38.549999999999997" customHeight="1" x14ac:dyDescent="0.35">
      <c r="A1" s="41" t="s">
        <v>195</v>
      </c>
    </row>
    <row r="2" spans="1:4" x14ac:dyDescent="0.3">
      <c r="A2" s="10" t="s">
        <v>359</v>
      </c>
      <c r="B2" t="s">
        <v>1</v>
      </c>
      <c r="C2" s="8" t="s">
        <v>26</v>
      </c>
      <c r="D2" s="13"/>
    </row>
    <row r="3" spans="1:4" x14ac:dyDescent="0.3">
      <c r="B3" s="15"/>
    </row>
    <row r="5" spans="1:4" ht="28.8" x14ac:dyDescent="0.3">
      <c r="A5" s="10" t="s">
        <v>366</v>
      </c>
      <c r="B5" t="s">
        <v>1</v>
      </c>
      <c r="C5" s="8" t="s">
        <v>26</v>
      </c>
      <c r="D5" s="13"/>
    </row>
    <row r="6" spans="1:4" x14ac:dyDescent="0.3">
      <c r="B6" s="15"/>
    </row>
    <row r="8" spans="1:4" x14ac:dyDescent="0.3">
      <c r="A8" s="1" t="s">
        <v>2</v>
      </c>
      <c r="D8" s="8" t="s">
        <v>3</v>
      </c>
    </row>
    <row r="9" spans="1:4" x14ac:dyDescent="0.3">
      <c r="A9" s="5"/>
      <c r="D9" s="9"/>
    </row>
  </sheetData>
  <sheetProtection sheet="1" objects="1" scenarios="1"/>
  <protectedRanges>
    <protectedRange sqref="B2 B5" name="Choice"/>
    <protectedRange sqref="B3" name="Answers"/>
    <protectedRange sqref="D9" name="Rating"/>
    <protectedRange sqref="A9" name="Comments_1"/>
    <protectedRange sqref="D2" name="Reference_2_1"/>
    <protectedRange sqref="D5" name="Reference_2_1_1"/>
  </protectedRanges>
  <dataValidations count="3">
    <dataValidation type="textLength" allowBlank="1" showInputMessage="1" showErrorMessage="1" sqref="A9" xr:uid="{1456E492-7E36-49AF-9039-49E7793FE3A5}">
      <formula1>0</formula1>
      <formula2>10000</formula2>
    </dataValidation>
    <dataValidation type="list" allowBlank="1" showInputMessage="1" showErrorMessage="1" sqref="D9" xr:uid="{E32C649C-C4CA-4890-8BA4-4ECFEAA5B947}">
      <formula1>"0,1,2,3,4,5"</formula1>
    </dataValidation>
    <dataValidation type="list" allowBlank="1" showErrorMessage="1" sqref="B2 B5" xr:uid="{DE4FD24F-BBC3-40C9-895A-91BC2C98E939}">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43D1A3B-7EF0-49C6-AAA6-85AF2270FB6E}">
          <x14:formula1>
            <xm:f>'68-ranges'!$A$1:$A$6</xm:f>
          </x14:formula1>
          <xm:sqref>B3</xm:sqref>
        </x14:dataValidation>
        <x14:dataValidation type="list" allowBlank="1" showInputMessage="1" showErrorMessage="1" xr:uid="{A4D0F508-C812-410B-A563-5003564F6060}">
          <x14:formula1>
            <xm:f>'68-ranges'!$A$9:$A$14</xm:f>
          </x14:formula1>
          <xm:sqref>B6</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DC5C6-257C-40F0-8C8A-80B1661B11D5}">
  <sheetPr codeName="Sheet39"/>
  <dimension ref="A1:D12"/>
  <sheetViews>
    <sheetView workbookViewId="0"/>
  </sheetViews>
  <sheetFormatPr defaultRowHeight="14.4" x14ac:dyDescent="0.3"/>
  <cols>
    <col min="1" max="1" width="74.77734375" customWidth="1"/>
    <col min="2" max="2" width="36.21875" customWidth="1"/>
    <col min="3" max="3" width="9.77734375" bestFit="1" customWidth="1"/>
    <col min="4" max="4" width="105.21875" customWidth="1"/>
  </cols>
  <sheetData>
    <row r="1" spans="1:4" ht="29.55" customHeight="1" x14ac:dyDescent="0.35">
      <c r="A1" s="41" t="s">
        <v>196</v>
      </c>
    </row>
    <row r="2" spans="1:4" ht="28.8" x14ac:dyDescent="0.3">
      <c r="A2" s="10" t="s">
        <v>391</v>
      </c>
      <c r="B2" t="s">
        <v>1</v>
      </c>
      <c r="C2" s="8" t="s">
        <v>26</v>
      </c>
      <c r="D2" s="13"/>
    </row>
    <row r="3" spans="1:4" x14ac:dyDescent="0.3">
      <c r="B3" s="15"/>
    </row>
    <row r="5" spans="1:4" ht="28.8" x14ac:dyDescent="0.3">
      <c r="A5" s="10" t="s">
        <v>197</v>
      </c>
      <c r="B5" t="s">
        <v>1</v>
      </c>
      <c r="C5" s="8" t="s">
        <v>26</v>
      </c>
      <c r="D5" s="13"/>
    </row>
    <row r="6" spans="1:4" x14ac:dyDescent="0.3">
      <c r="B6" s="15"/>
    </row>
    <row r="8" spans="1:4" x14ac:dyDescent="0.3">
      <c r="A8" s="10" t="s">
        <v>198</v>
      </c>
      <c r="B8" t="s">
        <v>1</v>
      </c>
      <c r="C8" s="8" t="s">
        <v>26</v>
      </c>
      <c r="D8" s="13"/>
    </row>
    <row r="9" spans="1:4" x14ac:dyDescent="0.3">
      <c r="B9" s="15"/>
    </row>
    <row r="11" spans="1:4" x14ac:dyDescent="0.3">
      <c r="A11" s="1" t="s">
        <v>2</v>
      </c>
      <c r="D11" s="8" t="s">
        <v>3</v>
      </c>
    </row>
    <row r="12" spans="1:4" x14ac:dyDescent="0.3">
      <c r="A12" s="5"/>
      <c r="D12" s="9"/>
    </row>
  </sheetData>
  <sheetProtection sheet="1" objects="1" scenarios="1"/>
  <protectedRanges>
    <protectedRange sqref="B3 B9 B6" name="Answea"/>
    <protectedRange sqref="D8" name="Reference_2_1_3"/>
    <protectedRange sqref="D5" name="Reference_2_1_2"/>
    <protectedRange sqref="D2" name="Reference_2_1"/>
    <protectedRange sqref="A12" name="Comments_1"/>
    <protectedRange sqref="D12" name="Rating"/>
    <protectedRange sqref="B2 B5 B8" name="Choice"/>
  </protectedRanges>
  <dataValidations count="3">
    <dataValidation type="list" allowBlank="1" showInputMessage="1" showErrorMessage="1" sqref="D12" xr:uid="{BBCA4C21-079F-4ABF-BA2F-C86378ED31D5}">
      <formula1>"0,1,2,3,4,5"</formula1>
    </dataValidation>
    <dataValidation type="textLength" allowBlank="1" showInputMessage="1" showErrorMessage="1" sqref="A12" xr:uid="{A4F1FB07-7734-4AB6-BD70-D399A6B53FC8}">
      <formula1>0</formula1>
      <formula2>10000</formula2>
    </dataValidation>
    <dataValidation type="list" allowBlank="1" showErrorMessage="1" sqref="B2 B5 B8" xr:uid="{D9FD3413-1CA4-4101-9CC6-E25370B01E7B}">
      <formula1>"Choose answer, Data not available/Not willing to share"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3F1538E4-E136-42C7-A2D7-1733437125D2}">
          <x14:formula1>
            <xm:f>'69-ranges'!$A$1:$A$5</xm:f>
          </x14:formula1>
          <xm:sqref>B3</xm:sqref>
        </x14:dataValidation>
        <x14:dataValidation type="list" allowBlank="1" showInputMessage="1" showErrorMessage="1" xr:uid="{A692A2C8-3782-4633-ADA0-FE7150D397B7}">
          <x14:formula1>
            <xm:f>'69-ranges'!$A$8:$A$10</xm:f>
          </x14:formula1>
          <xm:sqref>B6</xm:sqref>
        </x14:dataValidation>
        <x14:dataValidation type="list" allowBlank="1" showInputMessage="1" showErrorMessage="1" xr:uid="{AD21C5F5-F640-45BA-9BED-03916624C0D6}">
          <x14:formula1>
            <xm:f>'69-ranges'!$A$12:$A$15</xm:f>
          </x14:formula1>
          <xm:sqref>B9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744FF-C25A-49C8-8A05-E727D8959358}">
  <sheetPr codeName="Sheet42"/>
  <dimension ref="A1:A4"/>
  <sheetViews>
    <sheetView workbookViewId="0">
      <selection activeCell="A5" sqref="A5"/>
    </sheetView>
  </sheetViews>
  <sheetFormatPr defaultRowHeight="14.4" x14ac:dyDescent="0.3"/>
  <sheetData>
    <row r="1" spans="1:1" x14ac:dyDescent="0.3">
      <c r="A1" s="18" t="s">
        <v>210</v>
      </c>
    </row>
    <row r="2" spans="1:1" x14ac:dyDescent="0.3">
      <c r="A2" s="49" t="s">
        <v>211</v>
      </c>
    </row>
    <row r="3" spans="1:1" x14ac:dyDescent="0.3">
      <c r="A3" s="18" t="s">
        <v>213</v>
      </c>
    </row>
    <row r="4" spans="1:1" x14ac:dyDescent="0.3">
      <c r="A4" s="18" t="s">
        <v>212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E56F-09D7-4534-A227-50B6BAA07E3C}">
  <sheetPr codeName="Sheet40"/>
  <dimension ref="A1:A15"/>
  <sheetViews>
    <sheetView workbookViewId="0">
      <selection activeCell="A13" sqref="A13"/>
    </sheetView>
  </sheetViews>
  <sheetFormatPr defaultRowHeight="14.4" x14ac:dyDescent="0.3"/>
  <cols>
    <col min="1" max="1" width="21.5546875" customWidth="1"/>
  </cols>
  <sheetData>
    <row r="1" spans="1:1" x14ac:dyDescent="0.3">
      <c r="A1" t="s">
        <v>42</v>
      </c>
    </row>
    <row r="2" spans="1:1" x14ac:dyDescent="0.3">
      <c r="A2" t="s">
        <v>41</v>
      </c>
    </row>
    <row r="3" spans="1:1" x14ac:dyDescent="0.3">
      <c r="A3" t="s">
        <v>40</v>
      </c>
    </row>
    <row r="4" spans="1:1" x14ac:dyDescent="0.3">
      <c r="A4" t="s">
        <v>43</v>
      </c>
    </row>
    <row r="5" spans="1:1" x14ac:dyDescent="0.3">
      <c r="A5" t="s">
        <v>44</v>
      </c>
    </row>
    <row r="8" spans="1:1" x14ac:dyDescent="0.3">
      <c r="A8" t="s">
        <v>20</v>
      </c>
    </row>
    <row r="9" spans="1:1" x14ac:dyDescent="0.3">
      <c r="A9" t="s">
        <v>199</v>
      </c>
    </row>
    <row r="10" spans="1:1" x14ac:dyDescent="0.3">
      <c r="A10" t="s">
        <v>39</v>
      </c>
    </row>
    <row r="12" spans="1:1" x14ac:dyDescent="0.3">
      <c r="A12" t="s">
        <v>388</v>
      </c>
    </row>
    <row r="13" spans="1:1" x14ac:dyDescent="0.3">
      <c r="A13" t="s">
        <v>200</v>
      </c>
    </row>
    <row r="14" spans="1:1" x14ac:dyDescent="0.3">
      <c r="A14" t="s">
        <v>201</v>
      </c>
    </row>
    <row r="15" spans="1:1" x14ac:dyDescent="0.3">
      <c r="A15" t="s">
        <v>202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941BF-5672-4948-AE60-20576E99CD32}">
  <sheetPr codeName="Sheet37"/>
  <dimension ref="A1:A14"/>
  <sheetViews>
    <sheetView workbookViewId="0">
      <selection activeCell="D11" sqref="D11"/>
    </sheetView>
  </sheetViews>
  <sheetFormatPr defaultRowHeight="14.4" x14ac:dyDescent="0.3"/>
  <sheetData>
    <row r="1" spans="1:1" x14ac:dyDescent="0.3">
      <c r="A1" t="s">
        <v>360</v>
      </c>
    </row>
    <row r="2" spans="1:1" x14ac:dyDescent="0.3">
      <c r="A2" t="s">
        <v>361</v>
      </c>
    </row>
    <row r="3" spans="1:1" x14ac:dyDescent="0.3">
      <c r="A3" t="s">
        <v>362</v>
      </c>
    </row>
    <row r="4" spans="1:1" x14ac:dyDescent="0.3">
      <c r="A4" t="s">
        <v>363</v>
      </c>
    </row>
    <row r="5" spans="1:1" x14ac:dyDescent="0.3">
      <c r="A5" t="s">
        <v>364</v>
      </c>
    </row>
    <row r="6" spans="1:1" x14ac:dyDescent="0.3">
      <c r="A6" t="s">
        <v>365</v>
      </c>
    </row>
    <row r="9" spans="1:1" x14ac:dyDescent="0.3">
      <c r="A9" t="s">
        <v>367</v>
      </c>
    </row>
    <row r="10" spans="1:1" x14ac:dyDescent="0.3">
      <c r="A10" t="s">
        <v>368</v>
      </c>
    </row>
    <row r="11" spans="1:1" x14ac:dyDescent="0.3">
      <c r="A11" t="s">
        <v>369</v>
      </c>
    </row>
    <row r="12" spans="1:1" x14ac:dyDescent="0.3">
      <c r="A12" t="s">
        <v>370</v>
      </c>
    </row>
    <row r="13" spans="1:1" x14ac:dyDescent="0.3">
      <c r="A13" t="s">
        <v>371</v>
      </c>
    </row>
    <row r="14" spans="1:1" x14ac:dyDescent="0.3">
      <c r="A14" t="s">
        <v>372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B79FB-FD33-43D8-89A9-3E02CCAAC2B4}">
  <sheetPr codeName="Sheet44"/>
  <dimension ref="A1:D7"/>
  <sheetViews>
    <sheetView workbookViewId="0"/>
  </sheetViews>
  <sheetFormatPr defaultRowHeight="14.4" x14ac:dyDescent="0.3"/>
  <cols>
    <col min="1" max="1" width="88.77734375" bestFit="1" customWidth="1"/>
    <col min="2" max="2" width="15.77734375" customWidth="1"/>
    <col min="3" max="3" width="21.5546875" customWidth="1"/>
    <col min="4" max="4" width="95" customWidth="1"/>
  </cols>
  <sheetData>
    <row r="1" spans="1:4" ht="18" x14ac:dyDescent="0.35">
      <c r="A1" s="41" t="s">
        <v>218</v>
      </c>
    </row>
    <row r="2" spans="1:4" ht="28.8" x14ac:dyDescent="0.3">
      <c r="A2" s="10" t="s">
        <v>374</v>
      </c>
      <c r="B2" t="s">
        <v>1</v>
      </c>
      <c r="C2" s="8" t="s">
        <v>26</v>
      </c>
      <c r="D2" s="13"/>
    </row>
    <row r="3" spans="1:4" x14ac:dyDescent="0.3">
      <c r="B3" s="15"/>
    </row>
    <row r="6" spans="1:4" x14ac:dyDescent="0.3">
      <c r="A6" s="1" t="s">
        <v>2</v>
      </c>
      <c r="D6" s="8" t="s">
        <v>3</v>
      </c>
    </row>
    <row r="7" spans="1:4" x14ac:dyDescent="0.3">
      <c r="A7" s="5"/>
      <c r="D7" s="9"/>
    </row>
  </sheetData>
  <sheetProtection sheet="1" objects="1" scenarios="1"/>
  <protectedRanges>
    <protectedRange sqref="B2" name="Choice"/>
    <protectedRange sqref="D7" name="Rating"/>
    <protectedRange sqref="A7" name="Comments_1"/>
    <protectedRange sqref="D2" name="Reference_2_1"/>
    <protectedRange sqref="B3" name="Answers_224"/>
  </protectedRanges>
  <dataValidations count="4">
    <dataValidation type="list" allowBlank="1" showErrorMessage="1" sqref="B2" xr:uid="{3A920049-8DC0-447E-A06E-F1EA78AFD480}">
      <formula1>"Choose answer, Data not available/Not willing to share"</formula1>
    </dataValidation>
    <dataValidation type="list" allowBlank="1" showInputMessage="1" showErrorMessage="1" sqref="D7" xr:uid="{00DAC9A9-18BA-4F5C-8A45-64BE6179F9AF}">
      <formula1>"0,1,2,3,4,5"</formula1>
    </dataValidation>
    <dataValidation type="textLength" allowBlank="1" showInputMessage="1" showErrorMessage="1" sqref="A7" xr:uid="{026FEB0E-1C1F-441B-AA1A-887A7EDAA5AD}">
      <formula1>0</formula1>
      <formula2>10000</formula2>
    </dataValidation>
    <dataValidation type="list" allowBlank="1" showInputMessage="1" showErrorMessage="1" prompt="Select the arrow to the right to activate the drop-down menu." sqref="B3" xr:uid="{73642821-D2A0-4A38-A0CF-A06A638B4DD5}">
      <formula1>"0-20%, 21-40%, 41-60%, 61-80%, 81-100%"</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F4597-FC10-4C29-875A-3F4814C346AA}">
  <sheetPr codeName="Sheet7" filterMode="1"/>
  <dimension ref="A1:N698"/>
  <sheetViews>
    <sheetView topLeftCell="C48" workbookViewId="0">
      <selection activeCell="L56" sqref="L56"/>
    </sheetView>
  </sheetViews>
  <sheetFormatPr defaultRowHeight="14.4" x14ac:dyDescent="0.3"/>
  <cols>
    <col min="1" max="1" width="128" customWidth="1"/>
    <col min="2" max="2" width="32.77734375" customWidth="1"/>
    <col min="3" max="3" width="85.21875" customWidth="1"/>
    <col min="4" max="4" width="26.21875" customWidth="1"/>
    <col min="5" max="5" width="9" bestFit="1" customWidth="1"/>
    <col min="6" max="6" width="9.21875" style="17" bestFit="1" customWidth="1"/>
    <col min="7" max="7" width="9.21875" style="17"/>
    <col min="8" max="8" width="14.77734375" bestFit="1" customWidth="1"/>
    <col min="9" max="9" width="18.21875" customWidth="1"/>
    <col min="10" max="10" width="9.77734375" style="17" customWidth="1"/>
    <col min="12" max="12" width="12.5546875" bestFit="1" customWidth="1"/>
    <col min="13" max="13" width="8.44140625" bestFit="1" customWidth="1"/>
    <col min="14" max="14" width="12" bestFit="1" customWidth="1"/>
  </cols>
  <sheetData>
    <row r="1" spans="1:14" x14ac:dyDescent="0.3">
      <c r="A1" t="s">
        <v>4</v>
      </c>
      <c r="B1" t="s">
        <v>5</v>
      </c>
      <c r="C1" t="s">
        <v>6</v>
      </c>
      <c r="D1" t="s">
        <v>7</v>
      </c>
      <c r="E1" t="s">
        <v>8</v>
      </c>
      <c r="F1" s="17" t="s">
        <v>258</v>
      </c>
      <c r="G1" s="17" t="s">
        <v>9</v>
      </c>
      <c r="H1" t="s">
        <v>10</v>
      </c>
      <c r="I1" t="s">
        <v>11</v>
      </c>
      <c r="J1" s="17" t="s">
        <v>12</v>
      </c>
      <c r="K1" t="s">
        <v>13</v>
      </c>
      <c r="L1" t="s">
        <v>14</v>
      </c>
      <c r="M1" t="s">
        <v>15</v>
      </c>
      <c r="N1" t="s">
        <v>27</v>
      </c>
    </row>
    <row r="2" spans="1:14" hidden="1" x14ac:dyDescent="0.3">
      <c r="A2" t="s">
        <v>353</v>
      </c>
      <c r="B2" t="s">
        <v>375</v>
      </c>
      <c r="D2">
        <v>-2</v>
      </c>
      <c r="E2" s="4" t="str">
        <f>IF(B2='54'!$B$2,"TRUE","")</f>
        <v/>
      </c>
      <c r="F2" s="17">
        <v>0</v>
      </c>
      <c r="G2" s="17">
        <v>0</v>
      </c>
      <c r="H2" t="s">
        <v>18</v>
      </c>
      <c r="J2" s="17">
        <v>54</v>
      </c>
      <c r="K2">
        <v>12</v>
      </c>
      <c r="L2" t="str">
        <f>IF('54'!$A$9="","",'54'!$A$9)</f>
        <v/>
      </c>
      <c r="M2" t="str">
        <f>IF('54'!$D$9="","",'54'!$D$9)</f>
        <v/>
      </c>
      <c r="N2" t="str">
        <f>IF('54'!$D$2="","",'54'!$D$2)</f>
        <v/>
      </c>
    </row>
    <row r="3" spans="1:14" hidden="1" x14ac:dyDescent="0.3">
      <c r="A3" t="s">
        <v>353</v>
      </c>
      <c r="B3" t="s">
        <v>1</v>
      </c>
      <c r="C3" t="s">
        <v>20</v>
      </c>
      <c r="E3" s="4" t="str">
        <f>IF(C3='54'!$B$3,"TRUE","")</f>
        <v/>
      </c>
      <c r="F3" s="17">
        <v>0</v>
      </c>
      <c r="G3" s="17">
        <v>0</v>
      </c>
      <c r="H3" t="s">
        <v>18</v>
      </c>
      <c r="J3" s="17">
        <v>54</v>
      </c>
      <c r="K3">
        <v>12</v>
      </c>
      <c r="L3" t="str">
        <f>IF('54'!$A$9="","",'54'!$A$9)</f>
        <v/>
      </c>
      <c r="M3" t="str">
        <f>IF('54'!$D$9="","",'54'!$D$9)</f>
        <v/>
      </c>
      <c r="N3" t="str">
        <f>IF('54'!$D$2="","",'54'!$D$2)</f>
        <v/>
      </c>
    </row>
    <row r="4" spans="1:14" hidden="1" x14ac:dyDescent="0.3">
      <c r="A4" t="s">
        <v>353</v>
      </c>
      <c r="B4" t="s">
        <v>1</v>
      </c>
      <c r="C4" t="s">
        <v>382</v>
      </c>
      <c r="E4" s="4" t="str">
        <f>IF(C4='54'!$B$3,"TRUE","")</f>
        <v/>
      </c>
      <c r="F4" s="17">
        <v>0</v>
      </c>
      <c r="G4" s="17">
        <v>0</v>
      </c>
      <c r="H4" t="s">
        <v>18</v>
      </c>
      <c r="J4" s="17">
        <v>54</v>
      </c>
      <c r="K4">
        <v>12</v>
      </c>
      <c r="L4" t="str">
        <f>IF('54'!$A$9="","",'54'!$A$9)</f>
        <v/>
      </c>
      <c r="M4" t="str">
        <f>IF('54'!$D$9="","",'54'!$D$9)</f>
        <v/>
      </c>
      <c r="N4" t="str">
        <f>IF('54'!$D$2="","",'54'!$D$2)</f>
        <v/>
      </c>
    </row>
    <row r="5" spans="1:14" hidden="1" x14ac:dyDescent="0.3">
      <c r="A5" t="s">
        <v>353</v>
      </c>
      <c r="B5" t="s">
        <v>1</v>
      </c>
      <c r="C5" t="s">
        <v>21</v>
      </c>
      <c r="E5" s="4" t="str">
        <f>IF(C5='54'!$B$3,"TRUE","")</f>
        <v/>
      </c>
      <c r="F5" s="17">
        <v>0</v>
      </c>
      <c r="G5" s="17">
        <v>0</v>
      </c>
      <c r="H5" t="s">
        <v>18</v>
      </c>
      <c r="J5" s="17">
        <v>54</v>
      </c>
      <c r="K5">
        <v>12</v>
      </c>
      <c r="L5" t="str">
        <f>IF('54'!$A$9="","",'54'!$A$9)</f>
        <v/>
      </c>
      <c r="M5" t="str">
        <f>IF('54'!$D$9="","",'54'!$D$9)</f>
        <v/>
      </c>
      <c r="N5" t="str">
        <f>IF('54'!$D$2="","",'54'!$D$2)</f>
        <v/>
      </c>
    </row>
    <row r="6" spans="1:14" hidden="1" x14ac:dyDescent="0.3">
      <c r="A6" t="s">
        <v>353</v>
      </c>
      <c r="B6" t="s">
        <v>1</v>
      </c>
      <c r="C6" t="s">
        <v>22</v>
      </c>
      <c r="E6" s="4" t="str">
        <f>IF(C6='54'!$B$3,"TRUE","")</f>
        <v/>
      </c>
      <c r="F6" s="17">
        <v>0</v>
      </c>
      <c r="G6" s="17">
        <v>0</v>
      </c>
      <c r="H6" t="s">
        <v>18</v>
      </c>
      <c r="J6" s="17">
        <v>54</v>
      </c>
      <c r="K6">
        <v>12</v>
      </c>
      <c r="L6" t="str">
        <f>IF('54'!$A$9="","",'54'!$A$9)</f>
        <v/>
      </c>
      <c r="M6" t="str">
        <f>IF('54'!$D$9="","",'54'!$D$9)</f>
        <v/>
      </c>
      <c r="N6" t="str">
        <f>IF('54'!$D$2="","",'54'!$D$2)</f>
        <v/>
      </c>
    </row>
    <row r="7" spans="1:14" hidden="1" x14ac:dyDescent="0.3">
      <c r="A7" t="s">
        <v>353</v>
      </c>
      <c r="B7" t="s">
        <v>1</v>
      </c>
      <c r="C7" t="s">
        <v>23</v>
      </c>
      <c r="E7" s="4" t="str">
        <f>IF(C7='54'!$B$3,"TRUE","")</f>
        <v/>
      </c>
      <c r="F7" s="17">
        <v>0</v>
      </c>
      <c r="G7" s="17">
        <v>0</v>
      </c>
      <c r="H7" t="s">
        <v>18</v>
      </c>
      <c r="J7" s="17">
        <v>54</v>
      </c>
      <c r="K7">
        <v>12</v>
      </c>
      <c r="L7" t="str">
        <f>IF('54'!$A$9="","",'54'!$A$9)</f>
        <v/>
      </c>
      <c r="M7" t="str">
        <f>IF('54'!$D$9="","",'54'!$D$9)</f>
        <v/>
      </c>
      <c r="N7" t="str">
        <f>IF('54'!$D$2="","",'54'!$D$2)</f>
        <v/>
      </c>
    </row>
    <row r="8" spans="1:14" ht="43.95" hidden="1" customHeight="1" x14ac:dyDescent="0.3">
      <c r="A8" t="s">
        <v>19</v>
      </c>
      <c r="B8" t="s">
        <v>1</v>
      </c>
      <c r="C8" t="s">
        <v>383</v>
      </c>
      <c r="E8" s="4" t="str">
        <f>IF(C8='54'!$B$3,"TRUE","")</f>
        <v/>
      </c>
      <c r="F8" s="17">
        <v>0</v>
      </c>
      <c r="G8" s="17">
        <v>0</v>
      </c>
      <c r="H8" t="s">
        <v>18</v>
      </c>
      <c r="J8" s="17">
        <v>54</v>
      </c>
      <c r="K8">
        <v>12</v>
      </c>
      <c r="L8" t="str">
        <f>IF('54'!$A$9="","",'54'!$A$9)</f>
        <v/>
      </c>
      <c r="M8" t="str">
        <f>IF('54'!$D$9="","",'54'!$D$9)</f>
        <v/>
      </c>
      <c r="N8" t="str">
        <f>IF('54'!$D$2="","",'54'!$D$2)</f>
        <v/>
      </c>
    </row>
    <row r="9" spans="1:14" ht="43.95" hidden="1" customHeight="1" x14ac:dyDescent="0.3">
      <c r="A9" t="s">
        <v>24</v>
      </c>
      <c r="B9" t="s">
        <v>375</v>
      </c>
      <c r="C9" s="12"/>
      <c r="D9">
        <v>-2</v>
      </c>
      <c r="E9" s="4" t="str">
        <f>IF(B9='54'!$B$5,"TRUE","")</f>
        <v/>
      </c>
      <c r="F9" s="17">
        <v>0</v>
      </c>
      <c r="G9" s="17">
        <v>1</v>
      </c>
      <c r="J9" s="17">
        <v>54</v>
      </c>
      <c r="K9">
        <v>12</v>
      </c>
      <c r="L9" t="str">
        <f>IF('54'!$A$9="","",'54'!$A$9)</f>
        <v/>
      </c>
      <c r="M9" t="str">
        <f>IF('54'!$D$9="","",'54'!$D$9)</f>
        <v/>
      </c>
      <c r="N9" t="str">
        <f>IF('54'!$D$5="","",'54'!$D$5)</f>
        <v/>
      </c>
    </row>
    <row r="10" spans="1:14" hidden="1" x14ac:dyDescent="0.3">
      <c r="A10" t="s">
        <v>24</v>
      </c>
      <c r="B10" t="s">
        <v>1</v>
      </c>
      <c r="C10" t="s">
        <v>20</v>
      </c>
      <c r="E10" s="4" t="str">
        <f>IF(C10='54'!$B$6,"TRUE","")</f>
        <v/>
      </c>
      <c r="F10" s="17">
        <v>0</v>
      </c>
      <c r="G10" s="17">
        <v>1</v>
      </c>
      <c r="H10" t="s">
        <v>18</v>
      </c>
      <c r="J10" s="17">
        <v>54</v>
      </c>
      <c r="K10">
        <v>12</v>
      </c>
      <c r="L10" t="str">
        <f>IF('54'!$A$9="","",'54'!$A$9)</f>
        <v/>
      </c>
      <c r="M10" t="str">
        <f>IF('54'!$D$9="","",'54'!$D$9)</f>
        <v/>
      </c>
      <c r="N10" t="str">
        <f>IF('54'!$D$5="","",'54'!$D$5)</f>
        <v/>
      </c>
    </row>
    <row r="11" spans="1:14" hidden="1" x14ac:dyDescent="0.3">
      <c r="A11" t="s">
        <v>24</v>
      </c>
      <c r="B11" t="s">
        <v>1</v>
      </c>
      <c r="C11" t="s">
        <v>384</v>
      </c>
      <c r="E11" s="4" t="str">
        <f>IF(C11='54'!$B$6,"TRUE","")</f>
        <v/>
      </c>
      <c r="F11" s="17">
        <v>0</v>
      </c>
      <c r="G11" s="17">
        <v>1</v>
      </c>
      <c r="H11" t="s">
        <v>18</v>
      </c>
      <c r="J11" s="17">
        <v>54</v>
      </c>
      <c r="K11">
        <v>12</v>
      </c>
      <c r="L11" t="str">
        <f>IF('54'!$A$9="","",'54'!$A$9)</f>
        <v/>
      </c>
      <c r="M11" t="str">
        <f>IF('54'!$D$9="","",'54'!$D$9)</f>
        <v/>
      </c>
      <c r="N11" t="str">
        <f>IF('54'!$D$5="","",'54'!$D$5)</f>
        <v/>
      </c>
    </row>
    <row r="12" spans="1:14" hidden="1" x14ac:dyDescent="0.3">
      <c r="A12" t="s">
        <v>24</v>
      </c>
      <c r="B12" t="s">
        <v>1</v>
      </c>
      <c r="C12" t="s">
        <v>21</v>
      </c>
      <c r="E12" s="4" t="str">
        <f>IF(C12='54'!$B$6,"TRUE","")</f>
        <v/>
      </c>
      <c r="F12" s="17">
        <v>0</v>
      </c>
      <c r="G12" s="17">
        <v>1</v>
      </c>
      <c r="H12" t="s">
        <v>18</v>
      </c>
      <c r="J12" s="17">
        <v>54</v>
      </c>
      <c r="K12">
        <v>12</v>
      </c>
      <c r="L12" t="str">
        <f>IF('54'!$A$9="","",'54'!$A$9)</f>
        <v/>
      </c>
      <c r="M12" t="str">
        <f>IF('54'!$D$9="","",'54'!$D$9)</f>
        <v/>
      </c>
      <c r="N12" t="str">
        <f>IF('54'!$D$5="","",'54'!$D$5)</f>
        <v/>
      </c>
    </row>
    <row r="13" spans="1:14" hidden="1" x14ac:dyDescent="0.3">
      <c r="A13" t="s">
        <v>24</v>
      </c>
      <c r="B13" t="s">
        <v>1</v>
      </c>
      <c r="C13" t="s">
        <v>22</v>
      </c>
      <c r="E13" s="4" t="str">
        <f>IF(C13='54'!$B$6,"TRUE","")</f>
        <v/>
      </c>
      <c r="F13" s="17">
        <v>0</v>
      </c>
      <c r="G13" s="17">
        <v>1</v>
      </c>
      <c r="H13" t="s">
        <v>18</v>
      </c>
      <c r="J13" s="17">
        <v>54</v>
      </c>
      <c r="K13">
        <v>12</v>
      </c>
      <c r="L13" t="str">
        <f>IF('54'!$A$9="","",'54'!$A$9)</f>
        <v/>
      </c>
      <c r="M13" t="str">
        <f>IF('54'!$D$9="","",'54'!$D$9)</f>
        <v/>
      </c>
      <c r="N13" t="str">
        <f>IF('54'!$D$5="","",'54'!$D$5)</f>
        <v/>
      </c>
    </row>
    <row r="14" spans="1:14" hidden="1" x14ac:dyDescent="0.3">
      <c r="A14" t="s">
        <v>24</v>
      </c>
      <c r="B14" t="s">
        <v>1</v>
      </c>
      <c r="C14" t="s">
        <v>23</v>
      </c>
      <c r="E14" s="4" t="str">
        <f>IF(C14='54'!$B$6,"TRUE","")</f>
        <v/>
      </c>
      <c r="F14" s="17">
        <v>0</v>
      </c>
      <c r="G14" s="17">
        <v>1</v>
      </c>
      <c r="H14" t="s">
        <v>18</v>
      </c>
      <c r="J14" s="17">
        <v>54</v>
      </c>
      <c r="K14">
        <v>12</v>
      </c>
      <c r="L14" t="str">
        <f>IF('54'!$A$9="","",'54'!$A$9)</f>
        <v/>
      </c>
      <c r="M14" t="str">
        <f>IF('54'!$D$9="","",'54'!$D$9)</f>
        <v/>
      </c>
      <c r="N14" t="str">
        <f>IF('54'!$D$5="","",'54'!$D$5)</f>
        <v/>
      </c>
    </row>
    <row r="15" spans="1:14" hidden="1" x14ac:dyDescent="0.3">
      <c r="A15" t="s">
        <v>24</v>
      </c>
      <c r="B15" t="s">
        <v>1</v>
      </c>
      <c r="C15" t="s">
        <v>385</v>
      </c>
      <c r="E15" s="4" t="str">
        <f>IF(C15='54'!$B$6,"TRUE","")</f>
        <v/>
      </c>
      <c r="F15" s="17">
        <v>0</v>
      </c>
      <c r="G15" s="17">
        <v>1</v>
      </c>
      <c r="H15" t="s">
        <v>18</v>
      </c>
      <c r="J15" s="17">
        <v>54</v>
      </c>
      <c r="K15">
        <v>12</v>
      </c>
      <c r="L15" t="str">
        <f>IF('54'!$A$9="","",'54'!$A$9)</f>
        <v/>
      </c>
      <c r="M15" t="str">
        <f>IF('54'!$D$9="","",'54'!$D$9)</f>
        <v/>
      </c>
      <c r="N15" t="str">
        <f>IF('54'!$D$5="","",'54'!$D$5)</f>
        <v/>
      </c>
    </row>
    <row r="16" spans="1:14" ht="43.2" hidden="1" x14ac:dyDescent="0.3">
      <c r="A16" s="3" t="s">
        <v>29</v>
      </c>
      <c r="B16" t="s">
        <v>375</v>
      </c>
      <c r="C16" s="12"/>
      <c r="D16">
        <v>-2</v>
      </c>
      <c r="E16" s="4" t="str">
        <f>IF(B16='12'!$B$2,"TRUE","")</f>
        <v/>
      </c>
      <c r="F16" s="17">
        <v>0</v>
      </c>
      <c r="G16" s="17">
        <v>0</v>
      </c>
      <c r="J16" s="17">
        <v>12</v>
      </c>
      <c r="K16">
        <v>2</v>
      </c>
      <c r="L16" t="str">
        <f>IF('12'!$A$17="","",'12'!$A$17)</f>
        <v/>
      </c>
      <c r="M16" t="str">
        <f>IF('12'!$D$17="","",'12'!$D$17)</f>
        <v/>
      </c>
      <c r="N16" t="str">
        <f>IF('12'!$D$2="","",'12'!$D$2)</f>
        <v/>
      </c>
    </row>
    <row r="17" spans="1:14" ht="43.2" hidden="1" x14ac:dyDescent="0.3">
      <c r="A17" s="3" t="s">
        <v>29</v>
      </c>
      <c r="B17" t="s">
        <v>1</v>
      </c>
      <c r="C17" s="14" t="s">
        <v>267</v>
      </c>
      <c r="E17" t="str">
        <f>IF(VLOOKUP(C17,'12'!$A$3:$B$7,2,FALSE)="Yes", "TRUE", "")</f>
        <v/>
      </c>
      <c r="F17" s="17">
        <v>0</v>
      </c>
      <c r="G17" s="17">
        <v>0</v>
      </c>
      <c r="H17" t="s">
        <v>16</v>
      </c>
      <c r="J17" s="17">
        <v>12</v>
      </c>
      <c r="K17">
        <v>2</v>
      </c>
      <c r="L17" t="str">
        <f>IF('12'!$A$17="","",'12'!$A$17)</f>
        <v/>
      </c>
      <c r="M17" t="str">
        <f>IF('12'!$D$17="","",'12'!$D$17)</f>
        <v/>
      </c>
      <c r="N17" t="str">
        <f>IF('12'!$D$2="","",'12'!$D$2)</f>
        <v/>
      </c>
    </row>
    <row r="18" spans="1:14" ht="43.2" hidden="1" x14ac:dyDescent="0.3">
      <c r="A18" s="3" t="s">
        <v>29</v>
      </c>
      <c r="B18" t="s">
        <v>1</v>
      </c>
      <c r="C18" s="14" t="s">
        <v>30</v>
      </c>
      <c r="E18" t="str">
        <f>IF(VLOOKUP(C18,'12'!$A$3:$B$7,2,FALSE)="Yes", "TRUE", "")</f>
        <v/>
      </c>
      <c r="F18" s="17">
        <v>0</v>
      </c>
      <c r="G18" s="17">
        <v>0</v>
      </c>
      <c r="H18" t="s">
        <v>16</v>
      </c>
      <c r="J18" s="17">
        <v>12</v>
      </c>
      <c r="K18">
        <v>2</v>
      </c>
      <c r="L18" t="str">
        <f>IF('12'!$A$17="","",'12'!$A$17)</f>
        <v/>
      </c>
      <c r="M18" t="str">
        <f>IF('12'!$D$17="","",'12'!$D$17)</f>
        <v/>
      </c>
      <c r="N18" t="str">
        <f>IF('12'!$D$2="","",'12'!$D$2)</f>
        <v/>
      </c>
    </row>
    <row r="19" spans="1:14" ht="43.2" hidden="1" x14ac:dyDescent="0.3">
      <c r="A19" s="3" t="s">
        <v>29</v>
      </c>
      <c r="B19" t="s">
        <v>1</v>
      </c>
      <c r="C19" s="14" t="s">
        <v>31</v>
      </c>
      <c r="E19" t="str">
        <f>IF(VLOOKUP(C19,'12'!$A$3:$B$7,2,FALSE)="Yes", "TRUE", "")</f>
        <v/>
      </c>
      <c r="F19" s="17">
        <v>0</v>
      </c>
      <c r="G19" s="17">
        <v>0</v>
      </c>
      <c r="H19" t="s">
        <v>16</v>
      </c>
      <c r="J19" s="17">
        <v>12</v>
      </c>
      <c r="K19">
        <v>2</v>
      </c>
      <c r="L19" t="str">
        <f>IF('12'!$A$17="","",'12'!$A$17)</f>
        <v/>
      </c>
      <c r="M19" t="str">
        <f>IF('12'!$D$17="","",'12'!$D$17)</f>
        <v/>
      </c>
      <c r="N19" t="str">
        <f>IF('12'!$D$2="","",'12'!$D$2)</f>
        <v/>
      </c>
    </row>
    <row r="20" spans="1:14" ht="43.2" hidden="1" x14ac:dyDescent="0.3">
      <c r="A20" s="3" t="s">
        <v>29</v>
      </c>
      <c r="B20" t="s">
        <v>1</v>
      </c>
      <c r="C20" s="14" t="s">
        <v>32</v>
      </c>
      <c r="E20" t="str">
        <f>IF(VLOOKUP(C20,'12'!$A$3:$B$7,2,FALSE)="Yes", "TRUE", "")</f>
        <v/>
      </c>
      <c r="F20" s="17">
        <v>0</v>
      </c>
      <c r="G20" s="17">
        <v>0</v>
      </c>
      <c r="H20" t="s">
        <v>16</v>
      </c>
      <c r="J20" s="17">
        <v>12</v>
      </c>
      <c r="K20">
        <v>2</v>
      </c>
      <c r="L20" t="str">
        <f>IF('12'!$A$17="","",'12'!$A$17)</f>
        <v/>
      </c>
      <c r="M20" t="str">
        <f>IF('12'!$D$17="","",'12'!$D$17)</f>
        <v/>
      </c>
      <c r="N20" t="str">
        <f>IF('12'!$D$2="","",'12'!$D$2)</f>
        <v/>
      </c>
    </row>
    <row r="21" spans="1:14" ht="43.2" hidden="1" x14ac:dyDescent="0.3">
      <c r="A21" s="3" t="s">
        <v>29</v>
      </c>
      <c r="B21" t="s">
        <v>1</v>
      </c>
      <c r="C21" s="14" t="s">
        <v>33</v>
      </c>
      <c r="E21" t="str">
        <f>IF(VLOOKUP(C21,'12'!$A$3:$B$7,2,FALSE)="Yes", "TRUE", "")</f>
        <v/>
      </c>
      <c r="F21" s="17">
        <v>0</v>
      </c>
      <c r="G21" s="17">
        <v>0</v>
      </c>
      <c r="H21" t="s">
        <v>16</v>
      </c>
      <c r="J21" s="17">
        <v>12</v>
      </c>
      <c r="K21">
        <v>2</v>
      </c>
      <c r="L21" t="str">
        <f>IF('12'!$A$17="","",'12'!$A$17)</f>
        <v/>
      </c>
      <c r="M21" t="str">
        <f>IF('12'!$D$17="","",'12'!$D$17)</f>
        <v/>
      </c>
      <c r="N21" t="str">
        <f>IF('12'!$D$2="","",'12'!$D$2)</f>
        <v/>
      </c>
    </row>
    <row r="22" spans="1:14" ht="28.8" hidden="1" x14ac:dyDescent="0.3">
      <c r="A22" s="3" t="s">
        <v>270</v>
      </c>
      <c r="B22" t="s">
        <v>375</v>
      </c>
      <c r="C22" s="14"/>
      <c r="D22">
        <v>-2</v>
      </c>
      <c r="E22" s="4" t="str">
        <f>IF(B22='12'!$B$8,"TRUE","")</f>
        <v/>
      </c>
      <c r="F22" s="17">
        <v>0</v>
      </c>
      <c r="G22" s="17">
        <v>1</v>
      </c>
      <c r="H22" t="s">
        <v>16</v>
      </c>
      <c r="J22" s="17">
        <v>12</v>
      </c>
      <c r="K22">
        <v>2</v>
      </c>
      <c r="L22" t="str">
        <f>IF('12'!$A$17="","",'12'!$A$17)</f>
        <v/>
      </c>
      <c r="M22" t="str">
        <f>IF('12'!$D$17="","",'12'!$D$17)</f>
        <v/>
      </c>
      <c r="N22" t="str">
        <f>IF('12'!$D$8="","",'12'!$D$8)</f>
        <v/>
      </c>
    </row>
    <row r="23" spans="1:14" ht="28.8" hidden="1" x14ac:dyDescent="0.3">
      <c r="A23" s="3" t="s">
        <v>270</v>
      </c>
      <c r="B23" t="s">
        <v>1</v>
      </c>
      <c r="C23" s="56" t="s">
        <v>268</v>
      </c>
      <c r="E23" t="str">
        <f>IF(VLOOKUP(C23,'12'!$A$9:$B$14,2,FALSE)="Yes", "TRUE", "")</f>
        <v/>
      </c>
      <c r="F23" s="17">
        <v>0</v>
      </c>
      <c r="G23" s="17">
        <v>1</v>
      </c>
      <c r="H23" t="s">
        <v>16</v>
      </c>
      <c r="J23" s="17">
        <v>12</v>
      </c>
      <c r="K23">
        <v>2</v>
      </c>
      <c r="L23" t="str">
        <f>IF('12'!$A$17="","",'12'!$A$17)</f>
        <v/>
      </c>
      <c r="M23" t="str">
        <f>IF('12'!$D$17="","",'12'!$D$17)</f>
        <v/>
      </c>
      <c r="N23" t="str">
        <f>IF('12'!$D$8="","",'12'!$D$8)</f>
        <v/>
      </c>
    </row>
    <row r="24" spans="1:14" ht="28.8" hidden="1" x14ac:dyDescent="0.3">
      <c r="A24" s="3" t="s">
        <v>270</v>
      </c>
      <c r="B24" t="s">
        <v>1</v>
      </c>
      <c r="C24" s="56" t="s">
        <v>35</v>
      </c>
      <c r="E24" t="str">
        <f>IF(VLOOKUP(C24,'12'!$A$9:$B$14,2,FALSE)="Yes", "TRUE", "")</f>
        <v/>
      </c>
      <c r="F24" s="17">
        <v>0</v>
      </c>
      <c r="G24" s="17">
        <v>1</v>
      </c>
      <c r="H24" t="s">
        <v>16</v>
      </c>
      <c r="J24" s="17">
        <v>12</v>
      </c>
      <c r="K24">
        <v>2</v>
      </c>
      <c r="L24" t="str">
        <f>IF('12'!$A$17="","",'12'!$A$17)</f>
        <v/>
      </c>
      <c r="M24" t="str">
        <f>IF('12'!$D$17="","",'12'!$D$17)</f>
        <v/>
      </c>
      <c r="N24" t="str">
        <f>IF('12'!$D$8="","",'12'!$D$8)</f>
        <v/>
      </c>
    </row>
    <row r="25" spans="1:14" ht="28.8" hidden="1" x14ac:dyDescent="0.3">
      <c r="A25" s="3" t="s">
        <v>270</v>
      </c>
      <c r="B25" t="s">
        <v>1</v>
      </c>
      <c r="C25" s="56" t="s">
        <v>36</v>
      </c>
      <c r="E25" t="str">
        <f>IF(VLOOKUP(C25,'12'!$A$9:$B$14,2,FALSE)="Yes", "TRUE", "")</f>
        <v/>
      </c>
      <c r="F25" s="17">
        <v>0</v>
      </c>
      <c r="G25" s="17">
        <v>1</v>
      </c>
      <c r="H25" t="s">
        <v>16</v>
      </c>
      <c r="J25" s="17">
        <v>12</v>
      </c>
      <c r="K25">
        <v>2</v>
      </c>
      <c r="L25" t="str">
        <f>IF('12'!$A$17="","",'12'!$A$17)</f>
        <v/>
      </c>
      <c r="M25" t="str">
        <f>IF('12'!$D$17="","",'12'!$D$17)</f>
        <v/>
      </c>
      <c r="N25" t="str">
        <f>IF('12'!$D$8="","",'12'!$D$8)</f>
        <v/>
      </c>
    </row>
    <row r="26" spans="1:14" ht="28.8" hidden="1" x14ac:dyDescent="0.3">
      <c r="A26" s="3" t="s">
        <v>270</v>
      </c>
      <c r="B26" t="s">
        <v>1</v>
      </c>
      <c r="C26" s="56" t="s">
        <v>37</v>
      </c>
      <c r="E26" t="str">
        <f>IF(VLOOKUP(C26,'12'!$A$9:$B$14,2,FALSE)="Yes", "TRUE", "")</f>
        <v/>
      </c>
      <c r="F26" s="17">
        <v>0</v>
      </c>
      <c r="G26" s="17">
        <v>1</v>
      </c>
      <c r="H26" t="s">
        <v>16</v>
      </c>
      <c r="J26" s="17">
        <v>12</v>
      </c>
      <c r="K26">
        <v>2</v>
      </c>
      <c r="L26" t="str">
        <f>IF('12'!$A$17="","",'12'!$A$17)</f>
        <v/>
      </c>
      <c r="M26" t="str">
        <f>IF('12'!$D$17="","",'12'!$D$17)</f>
        <v/>
      </c>
      <c r="N26" t="str">
        <f>IF('12'!$D$8="","",'12'!$D$8)</f>
        <v/>
      </c>
    </row>
    <row r="27" spans="1:14" ht="28.8" hidden="1" x14ac:dyDescent="0.3">
      <c r="A27" s="3" t="s">
        <v>270</v>
      </c>
      <c r="B27" t="s">
        <v>1</v>
      </c>
      <c r="C27" s="56" t="s">
        <v>38</v>
      </c>
      <c r="E27" t="str">
        <f>IF(VLOOKUP(C27,'12'!$A$9:$B$14,2,FALSE)="Yes", "TRUE", "")</f>
        <v/>
      </c>
      <c r="F27" s="17">
        <v>0</v>
      </c>
      <c r="G27" s="17">
        <v>1</v>
      </c>
      <c r="H27" t="s">
        <v>16</v>
      </c>
      <c r="J27" s="17">
        <v>12</v>
      </c>
      <c r="K27">
        <v>2</v>
      </c>
      <c r="L27" t="str">
        <f>IF('12'!$A$17="","",'12'!$A$17)</f>
        <v/>
      </c>
      <c r="M27" t="str">
        <f>IF('12'!$D$17="","",'12'!$D$17)</f>
        <v/>
      </c>
      <c r="N27" t="str">
        <f>IF('12'!$D$8="","",'12'!$D$8)</f>
        <v/>
      </c>
    </row>
    <row r="28" spans="1:14" ht="28.8" hidden="1" x14ac:dyDescent="0.3">
      <c r="A28" s="3" t="s">
        <v>270</v>
      </c>
      <c r="B28" t="s">
        <v>1</v>
      </c>
      <c r="C28" s="3" t="s">
        <v>269</v>
      </c>
      <c r="E28" t="str">
        <f>IF(VLOOKUP(C28,'12'!$A$9:$B$14,2,FALSE)="Yes", "TRUE", "")</f>
        <v/>
      </c>
      <c r="F28" s="17">
        <v>0</v>
      </c>
      <c r="G28" s="17">
        <v>1</v>
      </c>
      <c r="H28" t="s">
        <v>16</v>
      </c>
      <c r="J28" s="17">
        <v>12</v>
      </c>
      <c r="K28">
        <v>2</v>
      </c>
      <c r="L28" t="str">
        <f>IF('12'!$A$17="","",'12'!$A$17)</f>
        <v/>
      </c>
      <c r="M28" t="str">
        <f>IF('12'!$D$17="","",'12'!$D$17)</f>
        <v/>
      </c>
      <c r="N28" t="str">
        <f>IF('12'!$D$8="","",'12'!$D$8)</f>
        <v/>
      </c>
    </row>
    <row r="29" spans="1:14" hidden="1" x14ac:dyDescent="0.3">
      <c r="A29" s="3" t="s">
        <v>339</v>
      </c>
      <c r="B29" t="s">
        <v>375</v>
      </c>
      <c r="D29">
        <v>-2</v>
      </c>
      <c r="E29" s="4" t="str">
        <f>IF(B29='44'!$B$2,"TRUE","")</f>
        <v/>
      </c>
      <c r="F29" s="17">
        <v>0</v>
      </c>
      <c r="G29" s="17">
        <v>0</v>
      </c>
      <c r="H29" t="s">
        <v>18</v>
      </c>
      <c r="J29" s="17">
        <v>44</v>
      </c>
      <c r="K29" s="17">
        <v>9</v>
      </c>
      <c r="L29" t="str">
        <f>IF('44'!$A$9="","",'44'!$A$9)</f>
        <v/>
      </c>
      <c r="M29">
        <f>IF('44'!$D$9="","",'44'!$D$9)</f>
        <v>1</v>
      </c>
      <c r="N29" t="str">
        <f>IF('44'!$D$2="","",'44'!$D$2)</f>
        <v/>
      </c>
    </row>
    <row r="30" spans="1:14" hidden="1" x14ac:dyDescent="0.3">
      <c r="A30" s="3" t="s">
        <v>339</v>
      </c>
      <c r="B30" t="s">
        <v>1</v>
      </c>
      <c r="C30" s="11" t="s">
        <v>39</v>
      </c>
      <c r="E30" s="4" t="str">
        <f>IF(C30='44'!$B$3,"TRUE","")</f>
        <v/>
      </c>
      <c r="F30" s="17">
        <v>0</v>
      </c>
      <c r="G30" s="17">
        <v>0</v>
      </c>
      <c r="H30" t="s">
        <v>18</v>
      </c>
      <c r="J30" s="17">
        <v>44</v>
      </c>
      <c r="K30" s="17">
        <v>9</v>
      </c>
      <c r="L30" t="str">
        <f>IF('44'!$A$9="","",'44'!$A$9)</f>
        <v/>
      </c>
      <c r="M30">
        <f>IF('44'!$D$9="","",'44'!$D$9)</f>
        <v>1</v>
      </c>
      <c r="N30" t="str">
        <f>IF('44'!$D$2="","",'44'!$D$2)</f>
        <v/>
      </c>
    </row>
    <row r="31" spans="1:14" hidden="1" x14ac:dyDescent="0.3">
      <c r="A31" s="3" t="s">
        <v>339</v>
      </c>
      <c r="B31" t="s">
        <v>1</v>
      </c>
      <c r="C31" s="12" t="s">
        <v>46</v>
      </c>
      <c r="E31" s="4" t="str">
        <f>IF(C31='44'!$B$3,"TRUE","")</f>
        <v/>
      </c>
      <c r="F31" s="17">
        <v>0</v>
      </c>
      <c r="G31" s="17">
        <v>0</v>
      </c>
      <c r="H31" t="s">
        <v>18</v>
      </c>
      <c r="J31" s="17">
        <v>44</v>
      </c>
      <c r="K31" s="17">
        <v>9</v>
      </c>
      <c r="L31" t="str">
        <f>IF('44'!$A$9="","",'44'!$A$9)</f>
        <v/>
      </c>
      <c r="M31">
        <f>IF('44'!$D$9="","",'44'!$D$9)</f>
        <v>1</v>
      </c>
      <c r="N31" t="str">
        <f>IF('44'!$D$2="","",'44'!$D$2)</f>
        <v/>
      </c>
    </row>
    <row r="32" spans="1:14" hidden="1" x14ac:dyDescent="0.3">
      <c r="A32" s="3" t="s">
        <v>339</v>
      </c>
      <c r="B32" t="s">
        <v>1</v>
      </c>
      <c r="C32" s="16" t="s">
        <v>47</v>
      </c>
      <c r="E32" s="4" t="str">
        <f>IF(C32='44'!$B$3,"TRUE","")</f>
        <v/>
      </c>
      <c r="F32" s="17">
        <v>0</v>
      </c>
      <c r="G32" s="17">
        <v>0</v>
      </c>
      <c r="H32" t="s">
        <v>18</v>
      </c>
      <c r="J32" s="17">
        <v>44</v>
      </c>
      <c r="K32" s="17">
        <v>9</v>
      </c>
      <c r="L32" t="str">
        <f>IF('44'!$A$9="","",'44'!$A$9)</f>
        <v/>
      </c>
      <c r="M32">
        <f>IF('44'!$D$9="","",'44'!$D$9)</f>
        <v>1</v>
      </c>
      <c r="N32" t="str">
        <f>IF('44'!$D$2="","",'44'!$D$2)</f>
        <v/>
      </c>
    </row>
    <row r="33" spans="1:14" hidden="1" x14ac:dyDescent="0.3">
      <c r="A33" s="3" t="s">
        <v>339</v>
      </c>
      <c r="B33" t="s">
        <v>1</v>
      </c>
      <c r="C33" s="11" t="s">
        <v>48</v>
      </c>
      <c r="E33" s="4" t="str">
        <f>IF(C33='44'!$B$3,"TRUE","")</f>
        <v/>
      </c>
      <c r="F33" s="17">
        <v>0</v>
      </c>
      <c r="G33" s="17">
        <v>0</v>
      </c>
      <c r="H33" t="s">
        <v>18</v>
      </c>
      <c r="J33" s="17">
        <v>44</v>
      </c>
      <c r="K33" s="17">
        <v>9</v>
      </c>
      <c r="L33" t="str">
        <f>IF('44'!$A$9="","",'44'!$A$9)</f>
        <v/>
      </c>
      <c r="M33">
        <f>IF('44'!$D$9="","",'44'!$D$9)</f>
        <v>1</v>
      </c>
      <c r="N33" t="str">
        <f>IF('44'!$D$2="","",'44'!$D$2)</f>
        <v/>
      </c>
    </row>
    <row r="34" spans="1:14" hidden="1" x14ac:dyDescent="0.3">
      <c r="A34" t="s">
        <v>49</v>
      </c>
      <c r="B34" t="s">
        <v>375</v>
      </c>
      <c r="D34">
        <v>-2</v>
      </c>
      <c r="E34" s="4" t="str">
        <f>IF(B34='44'!$B$5,"TRUE","")</f>
        <v/>
      </c>
      <c r="F34" s="17">
        <v>0</v>
      </c>
      <c r="G34" s="17">
        <v>1</v>
      </c>
      <c r="H34" t="s">
        <v>18</v>
      </c>
      <c r="J34" s="17">
        <v>44</v>
      </c>
      <c r="K34" s="17">
        <v>9</v>
      </c>
      <c r="L34" t="str">
        <f>IF('44'!$A$9="","",'44'!$A$9)</f>
        <v/>
      </c>
      <c r="M34">
        <f>IF('44'!$D$9="","",'44'!$D$9)</f>
        <v>1</v>
      </c>
      <c r="N34" t="str">
        <f>IF('44'!$D$5="","",'44'!$D$5)</f>
        <v/>
      </c>
    </row>
    <row r="35" spans="1:14" hidden="1" x14ac:dyDescent="0.3">
      <c r="A35" t="s">
        <v>340</v>
      </c>
      <c r="B35" t="s">
        <v>1</v>
      </c>
      <c r="C35" s="12" t="s">
        <v>42</v>
      </c>
      <c r="E35" s="4" t="str">
        <f>IF(C35='44'!$B$6,"TRUE","")</f>
        <v/>
      </c>
      <c r="F35" s="17">
        <v>0</v>
      </c>
      <c r="G35" s="17">
        <v>1</v>
      </c>
      <c r="H35" t="s">
        <v>18</v>
      </c>
      <c r="J35" s="17">
        <v>44</v>
      </c>
      <c r="K35" s="17">
        <v>9</v>
      </c>
      <c r="L35" t="str">
        <f>IF('44'!$A$9="","",'44'!$A$9)</f>
        <v/>
      </c>
      <c r="M35">
        <f>IF('44'!$D$9="","",'44'!$D$9)</f>
        <v>1</v>
      </c>
      <c r="N35" t="str">
        <f>IF('44'!$D$5="","",'44'!$D$5)</f>
        <v/>
      </c>
    </row>
    <row r="36" spans="1:14" hidden="1" x14ac:dyDescent="0.3">
      <c r="A36" t="s">
        <v>340</v>
      </c>
      <c r="B36" t="s">
        <v>1</v>
      </c>
      <c r="C36" s="12" t="s">
        <v>41</v>
      </c>
      <c r="E36" s="4" t="str">
        <f>IF(C36='44'!$B$6,"TRUE","")</f>
        <v/>
      </c>
      <c r="F36" s="17">
        <v>0</v>
      </c>
      <c r="G36" s="17">
        <v>1</v>
      </c>
      <c r="H36" t="s">
        <v>18</v>
      </c>
      <c r="J36" s="17">
        <v>44</v>
      </c>
      <c r="K36" s="17">
        <v>9</v>
      </c>
      <c r="L36" t="str">
        <f>IF('44'!$A$9="","",'44'!$A$9)</f>
        <v/>
      </c>
      <c r="M36">
        <f>IF('44'!$D$9="","",'44'!$D$9)</f>
        <v>1</v>
      </c>
      <c r="N36" t="str">
        <f>IF('44'!$D$5="","",'44'!$D$5)</f>
        <v/>
      </c>
    </row>
    <row r="37" spans="1:14" hidden="1" x14ac:dyDescent="0.3">
      <c r="A37" t="s">
        <v>340</v>
      </c>
      <c r="B37" t="s">
        <v>1</v>
      </c>
      <c r="C37" s="12" t="s">
        <v>40</v>
      </c>
      <c r="E37" s="4" t="str">
        <f>IF(C37='44'!$B$6,"TRUE","")</f>
        <v/>
      </c>
      <c r="F37" s="17">
        <v>0</v>
      </c>
      <c r="G37" s="17">
        <v>1</v>
      </c>
      <c r="H37" t="s">
        <v>18</v>
      </c>
      <c r="J37" s="17">
        <v>44</v>
      </c>
      <c r="K37" s="17">
        <v>9</v>
      </c>
      <c r="L37" t="str">
        <f>IF('44'!$A$9="","",'44'!$A$9)</f>
        <v/>
      </c>
      <c r="M37">
        <f>IF('44'!$D$9="","",'44'!$D$9)</f>
        <v>1</v>
      </c>
      <c r="N37" t="str">
        <f>IF('44'!$D$5="","",'44'!$D$5)</f>
        <v/>
      </c>
    </row>
    <row r="38" spans="1:14" hidden="1" x14ac:dyDescent="0.3">
      <c r="A38" t="s">
        <v>340</v>
      </c>
      <c r="B38" t="s">
        <v>1</v>
      </c>
      <c r="C38" s="12" t="s">
        <v>43</v>
      </c>
      <c r="E38" s="4" t="str">
        <f>IF(C38='44'!$B$6,"TRUE","")</f>
        <v/>
      </c>
      <c r="F38" s="17">
        <v>0</v>
      </c>
      <c r="G38" s="17">
        <v>1</v>
      </c>
      <c r="H38" t="s">
        <v>18</v>
      </c>
      <c r="J38" s="17">
        <v>44</v>
      </c>
      <c r="K38" s="17">
        <v>9</v>
      </c>
      <c r="L38" t="str">
        <f>IF('44'!$A$9="","",'44'!$A$9)</f>
        <v/>
      </c>
      <c r="M38">
        <f>IF('44'!$D$9="","",'44'!$D$9)</f>
        <v>1</v>
      </c>
      <c r="N38" t="str">
        <f>IF('44'!$D$5="","",'44'!$D$5)</f>
        <v/>
      </c>
    </row>
    <row r="39" spans="1:14" hidden="1" x14ac:dyDescent="0.3">
      <c r="A39" t="s">
        <v>340</v>
      </c>
      <c r="B39" t="s">
        <v>1</v>
      </c>
      <c r="C39" s="12" t="s">
        <v>44</v>
      </c>
      <c r="E39" s="4" t="str">
        <f>IF(C39='44'!$B$6,"TRUE","")</f>
        <v/>
      </c>
      <c r="F39" s="17">
        <v>0</v>
      </c>
      <c r="G39" s="17">
        <v>1</v>
      </c>
      <c r="H39" t="s">
        <v>18</v>
      </c>
      <c r="J39" s="17">
        <v>44</v>
      </c>
      <c r="K39" s="17">
        <v>9</v>
      </c>
      <c r="L39" t="str">
        <f>IF('44'!$A$9="","",'44'!$A$9)</f>
        <v/>
      </c>
      <c r="M39">
        <f>IF('44'!$D$9="","",'44'!$D$9)</f>
        <v>1</v>
      </c>
      <c r="N39" t="str">
        <f>IF('44'!$D$5="","",'44'!$D$5)</f>
        <v/>
      </c>
    </row>
    <row r="40" spans="1:14" x14ac:dyDescent="0.3">
      <c r="A40" t="s">
        <v>51</v>
      </c>
      <c r="B40" t="s">
        <v>375</v>
      </c>
      <c r="D40">
        <v>-2</v>
      </c>
      <c r="E40" s="4" t="str">
        <f>IF(B40='38'!$B$2,"TRUE","")</f>
        <v/>
      </c>
      <c r="F40" s="17">
        <v>0</v>
      </c>
      <c r="G40" s="17">
        <v>0</v>
      </c>
      <c r="H40" t="s">
        <v>18</v>
      </c>
      <c r="J40" s="17">
        <v>38</v>
      </c>
      <c r="K40" s="17">
        <v>3</v>
      </c>
      <c r="L40" t="str">
        <f>IF('38'!$A$22="","",'38'!$A$22)</f>
        <v/>
      </c>
      <c r="M40" t="str">
        <f>IF('38'!$D$22="","",'38'!$D$22)</f>
        <v/>
      </c>
      <c r="N40" t="str">
        <f>IF('38'!$D$2="","",'38'!$D$2)</f>
        <v/>
      </c>
    </row>
    <row r="41" spans="1:14" x14ac:dyDescent="0.3">
      <c r="A41" t="s">
        <v>51</v>
      </c>
      <c r="B41" t="s">
        <v>1</v>
      </c>
      <c r="C41" s="12" t="s">
        <v>52</v>
      </c>
      <c r="E41" s="4" t="str">
        <f>IF(C41='38'!$B$3,"TRUE","")</f>
        <v/>
      </c>
      <c r="F41" s="17">
        <v>0</v>
      </c>
      <c r="G41" s="17">
        <v>0</v>
      </c>
      <c r="H41" t="s">
        <v>18</v>
      </c>
      <c r="J41" s="17">
        <v>38</v>
      </c>
      <c r="K41" s="17">
        <v>3</v>
      </c>
      <c r="L41" t="str">
        <f>IF('38'!$A$22="","",'38'!$A$22)</f>
        <v/>
      </c>
      <c r="M41" t="str">
        <f>IF('38'!$D$22="","",'38'!$D$22)</f>
        <v/>
      </c>
      <c r="N41" t="str">
        <f>IF('38'!$D$2="","",'38'!$D$2)</f>
        <v/>
      </c>
    </row>
    <row r="42" spans="1:14" x14ac:dyDescent="0.3">
      <c r="A42" t="s">
        <v>51</v>
      </c>
      <c r="B42" t="s">
        <v>1</v>
      </c>
      <c r="C42" s="12" t="s">
        <v>53</v>
      </c>
      <c r="E42" s="4" t="str">
        <f>IF(C42='38'!$B$3,"TRUE","")</f>
        <v/>
      </c>
      <c r="F42" s="17">
        <v>0</v>
      </c>
      <c r="G42" s="17">
        <v>0</v>
      </c>
      <c r="H42" t="s">
        <v>18</v>
      </c>
      <c r="J42" s="17">
        <v>38</v>
      </c>
      <c r="K42" s="17">
        <v>3</v>
      </c>
      <c r="L42" t="str">
        <f>IF('38'!$A$22="","",'38'!$A$22)</f>
        <v/>
      </c>
      <c r="M42" t="str">
        <f>IF('38'!$D$22="","",'38'!$D$22)</f>
        <v/>
      </c>
      <c r="N42" t="str">
        <f>IF('38'!$D$2="","",'38'!$D$2)</f>
        <v/>
      </c>
    </row>
    <row r="43" spans="1:14" x14ac:dyDescent="0.3">
      <c r="A43" t="s">
        <v>51</v>
      </c>
      <c r="B43" t="s">
        <v>1</v>
      </c>
      <c r="C43" s="12" t="s">
        <v>54</v>
      </c>
      <c r="E43" s="4" t="str">
        <f>IF(C43='38'!$B$3,"TRUE","")</f>
        <v/>
      </c>
      <c r="F43" s="17">
        <v>0</v>
      </c>
      <c r="G43" s="17">
        <v>0</v>
      </c>
      <c r="H43" t="s">
        <v>18</v>
      </c>
      <c r="J43" s="17">
        <v>38</v>
      </c>
      <c r="K43" s="17">
        <v>3</v>
      </c>
      <c r="L43" t="str">
        <f>IF('38'!$A$22="","",'38'!$A$22)</f>
        <v/>
      </c>
      <c r="M43" t="str">
        <f>IF('38'!$D$22="","",'38'!$D$22)</f>
        <v/>
      </c>
      <c r="N43" t="str">
        <f>IF('38'!$D$2="","",'38'!$D$2)</f>
        <v/>
      </c>
    </row>
    <row r="44" spans="1:14" x14ac:dyDescent="0.3">
      <c r="A44" t="s">
        <v>51</v>
      </c>
      <c r="B44" t="s">
        <v>1</v>
      </c>
      <c r="C44" s="12" t="s">
        <v>55</v>
      </c>
      <c r="E44" s="4" t="str">
        <f>IF(C44='38'!$B$3,"TRUE","")</f>
        <v/>
      </c>
      <c r="F44" s="17">
        <v>0</v>
      </c>
      <c r="G44" s="17">
        <v>0</v>
      </c>
      <c r="H44" t="s">
        <v>18</v>
      </c>
      <c r="J44" s="17">
        <v>38</v>
      </c>
      <c r="K44" s="17">
        <v>3</v>
      </c>
      <c r="L44" t="str">
        <f>IF('38'!$A$22="","",'38'!$A$22)</f>
        <v/>
      </c>
      <c r="M44" t="str">
        <f>IF('38'!$D$22="","",'38'!$D$22)</f>
        <v/>
      </c>
      <c r="N44" t="str">
        <f>IF('38'!$D$2="","",'38'!$D$2)</f>
        <v/>
      </c>
    </row>
    <row r="45" spans="1:14" x14ac:dyDescent="0.3">
      <c r="A45" t="s">
        <v>51</v>
      </c>
      <c r="B45" t="s">
        <v>1</v>
      </c>
      <c r="C45" s="12" t="s">
        <v>56</v>
      </c>
      <c r="E45" s="4" t="str">
        <f>IF(C45='38'!$B$3,"TRUE","")</f>
        <v/>
      </c>
      <c r="F45" s="17">
        <v>0</v>
      </c>
      <c r="G45" s="17">
        <v>0</v>
      </c>
      <c r="H45" t="s">
        <v>18</v>
      </c>
      <c r="J45" s="17">
        <v>38</v>
      </c>
      <c r="K45" s="17">
        <v>3</v>
      </c>
      <c r="L45" t="str">
        <f>IF('38'!$A$22="","",'38'!$A$22)</f>
        <v/>
      </c>
      <c r="M45" t="str">
        <f>IF('38'!$D$22="","",'38'!$D$22)</f>
        <v/>
      </c>
      <c r="N45" t="str">
        <f>IF('38'!$D$2="","",'38'!$D$2)</f>
        <v/>
      </c>
    </row>
    <row r="46" spans="1:14" x14ac:dyDescent="0.3">
      <c r="A46" t="s">
        <v>65</v>
      </c>
      <c r="B46" t="s">
        <v>375</v>
      </c>
      <c r="D46">
        <v>-2</v>
      </c>
      <c r="E46" s="4" t="str">
        <f>IF(B46='38'!$B$5,"TRUE","")</f>
        <v/>
      </c>
      <c r="F46" s="17">
        <v>0</v>
      </c>
      <c r="G46" s="17">
        <v>1</v>
      </c>
      <c r="H46" t="s">
        <v>18</v>
      </c>
      <c r="J46" s="17">
        <v>38</v>
      </c>
      <c r="K46" s="17">
        <v>3</v>
      </c>
      <c r="L46" t="str">
        <f>IF('38'!$A$22="","",'38'!$A$22)</f>
        <v/>
      </c>
      <c r="M46" t="str">
        <f>IF('38'!$D$22="","",'38'!$D$22)</f>
        <v/>
      </c>
      <c r="N46" t="str">
        <f>IF('38'!$D$5="","",'38'!$D$5)</f>
        <v/>
      </c>
    </row>
    <row r="47" spans="1:14" x14ac:dyDescent="0.3">
      <c r="A47" t="s">
        <v>65</v>
      </c>
      <c r="B47" t="s">
        <v>1</v>
      </c>
      <c r="C47" s="12" t="s">
        <v>52</v>
      </c>
      <c r="E47" s="4" t="str">
        <f>IF(C47='38'!$B$6,"TRUE","")</f>
        <v/>
      </c>
      <c r="F47" s="17">
        <v>0</v>
      </c>
      <c r="G47" s="17">
        <v>1</v>
      </c>
      <c r="H47" t="s">
        <v>18</v>
      </c>
      <c r="J47" s="17">
        <v>38</v>
      </c>
      <c r="K47" s="17">
        <v>3</v>
      </c>
      <c r="L47" t="str">
        <f>IF('38'!$A$22="","",'38'!$A$22)</f>
        <v/>
      </c>
      <c r="M47" t="str">
        <f>IF('38'!$D$22="","",'38'!$D$22)</f>
        <v/>
      </c>
      <c r="N47" t="str">
        <f>IF('38'!$D$5="","",'38'!$D$5)</f>
        <v/>
      </c>
    </row>
    <row r="48" spans="1:14" x14ac:dyDescent="0.3">
      <c r="A48" t="s">
        <v>65</v>
      </c>
      <c r="B48" t="s">
        <v>1</v>
      </c>
      <c r="C48" s="12" t="s">
        <v>57</v>
      </c>
      <c r="E48" s="4" t="str">
        <f>IF(C48='38'!$B$6,"TRUE","")</f>
        <v/>
      </c>
      <c r="F48" s="17">
        <v>0</v>
      </c>
      <c r="G48" s="17">
        <v>1</v>
      </c>
      <c r="H48" t="s">
        <v>18</v>
      </c>
      <c r="J48" s="17">
        <v>38</v>
      </c>
      <c r="K48" s="17">
        <v>3</v>
      </c>
      <c r="L48" t="str">
        <f>IF('38'!$A$22="","",'38'!$A$22)</f>
        <v/>
      </c>
      <c r="M48" t="str">
        <f>IF('38'!$D$22="","",'38'!$D$22)</f>
        <v/>
      </c>
      <c r="N48" t="str">
        <f>IF('38'!$D$5="","",'38'!$D$5)</f>
        <v/>
      </c>
    </row>
    <row r="49" spans="1:14" ht="72" x14ac:dyDescent="0.3">
      <c r="A49" t="s">
        <v>65</v>
      </c>
      <c r="B49" t="s">
        <v>1</v>
      </c>
      <c r="C49" s="12" t="s">
        <v>58</v>
      </c>
      <c r="E49" s="4" t="str">
        <f>IF(C49='38'!$B$6,"TRUE","")</f>
        <v/>
      </c>
      <c r="F49" s="17">
        <v>0</v>
      </c>
      <c r="G49" s="17">
        <v>1</v>
      </c>
      <c r="H49" t="s">
        <v>18</v>
      </c>
      <c r="J49" s="17">
        <v>38</v>
      </c>
      <c r="K49" s="17">
        <v>3</v>
      </c>
      <c r="L49" t="str">
        <f>IF('38'!$A$22="","",'38'!$A$22)</f>
        <v/>
      </c>
      <c r="M49" t="str">
        <f>IF('38'!$D$22="","",'38'!$D$22)</f>
        <v/>
      </c>
      <c r="N49" t="str">
        <f>IF('38'!$D$5="","",'38'!$D$5)</f>
        <v/>
      </c>
    </row>
    <row r="50" spans="1:14" ht="28.8" x14ac:dyDescent="0.3">
      <c r="A50" t="s">
        <v>65</v>
      </c>
      <c r="B50" t="s">
        <v>1</v>
      </c>
      <c r="C50" s="12" t="s">
        <v>59</v>
      </c>
      <c r="E50" s="4" t="str">
        <f>IF(C50='38'!$B$6,"TRUE","")</f>
        <v/>
      </c>
      <c r="F50" s="17">
        <v>0</v>
      </c>
      <c r="G50" s="17">
        <v>1</v>
      </c>
      <c r="H50" t="s">
        <v>18</v>
      </c>
      <c r="J50" s="17">
        <v>38</v>
      </c>
      <c r="K50" s="17">
        <v>3</v>
      </c>
      <c r="L50" t="str">
        <f>IF('38'!$A$22="","",'38'!$A$22)</f>
        <v/>
      </c>
      <c r="M50" t="str">
        <f>IF('38'!$D$22="","",'38'!$D$22)</f>
        <v/>
      </c>
      <c r="N50" t="str">
        <f>IF('38'!$D$5="","",'38'!$D$5)</f>
        <v/>
      </c>
    </row>
    <row r="51" spans="1:14" ht="28.8" x14ac:dyDescent="0.3">
      <c r="A51" t="s">
        <v>65</v>
      </c>
      <c r="B51" t="s">
        <v>1</v>
      </c>
      <c r="C51" s="12" t="s">
        <v>60</v>
      </c>
      <c r="E51" s="4" t="str">
        <f>IF(C51='38'!$B$6,"TRUE","")</f>
        <v/>
      </c>
      <c r="F51" s="17">
        <v>0</v>
      </c>
      <c r="G51" s="17">
        <v>1</v>
      </c>
      <c r="H51" t="s">
        <v>18</v>
      </c>
      <c r="J51" s="17">
        <v>38</v>
      </c>
      <c r="K51" s="17">
        <v>3</v>
      </c>
      <c r="L51" t="str">
        <f>IF('38'!$A$22="","",'38'!$A$22)</f>
        <v/>
      </c>
      <c r="M51" t="str">
        <f>IF('38'!$D$22="","",'38'!$D$22)</f>
        <v/>
      </c>
      <c r="N51" t="str">
        <f>IF('38'!$D$5="","",'38'!$D$5)</f>
        <v/>
      </c>
    </row>
    <row r="52" spans="1:14" x14ac:dyDescent="0.3">
      <c r="A52" t="s">
        <v>66</v>
      </c>
      <c r="B52" t="s">
        <v>375</v>
      </c>
      <c r="C52" s="12"/>
      <c r="D52">
        <v>-2</v>
      </c>
      <c r="E52" s="4" t="str">
        <f>IF(B52='38'!$B$8,"TRUE","")</f>
        <v/>
      </c>
      <c r="F52" s="17">
        <v>0</v>
      </c>
      <c r="G52" s="17">
        <v>2</v>
      </c>
      <c r="H52" t="s">
        <v>18</v>
      </c>
      <c r="J52" s="17">
        <v>38</v>
      </c>
      <c r="K52" s="17">
        <v>3</v>
      </c>
      <c r="L52" t="str">
        <f>IF('38'!$A$22="","",'38'!$A$22)</f>
        <v/>
      </c>
      <c r="M52" t="str">
        <f>IF('38'!$D$22="","",'38'!$D$22)</f>
        <v/>
      </c>
      <c r="N52" t="str">
        <f>IF('38'!$D$8="","",'38'!$D$8)</f>
        <v/>
      </c>
    </row>
    <row r="53" spans="1:14" x14ac:dyDescent="0.3">
      <c r="A53" t="s">
        <v>66</v>
      </c>
      <c r="B53" t="s">
        <v>1</v>
      </c>
      <c r="C53" t="s">
        <v>52</v>
      </c>
      <c r="E53" s="4" t="str">
        <f>IF(C53='38'!$B$9,"TRUE","")</f>
        <v/>
      </c>
      <c r="F53" s="17">
        <v>0</v>
      </c>
      <c r="G53" s="17">
        <v>2</v>
      </c>
      <c r="H53" t="s">
        <v>18</v>
      </c>
      <c r="J53" s="17">
        <v>38</v>
      </c>
      <c r="K53" s="17">
        <v>3</v>
      </c>
      <c r="L53" t="str">
        <f>IF('38'!$A$22="","",'38'!$A$22)</f>
        <v/>
      </c>
      <c r="M53" t="str">
        <f>IF('38'!$D$22="","",'38'!$D$22)</f>
        <v/>
      </c>
      <c r="N53" t="str">
        <f>IF('38'!$D$8="","",'38'!$D$8)</f>
        <v/>
      </c>
    </row>
    <row r="54" spans="1:14" x14ac:dyDescent="0.3">
      <c r="A54" t="s">
        <v>66</v>
      </c>
      <c r="B54" t="s">
        <v>1</v>
      </c>
      <c r="C54" t="s">
        <v>386</v>
      </c>
      <c r="E54" s="4" t="str">
        <f>IF(C54='38'!$B$9,"TRUE","")</f>
        <v/>
      </c>
      <c r="F54" s="17">
        <v>0</v>
      </c>
      <c r="G54" s="17">
        <v>2</v>
      </c>
      <c r="H54" t="s">
        <v>18</v>
      </c>
      <c r="J54" s="17">
        <v>38</v>
      </c>
      <c r="K54" s="17">
        <v>3</v>
      </c>
      <c r="L54" t="str">
        <f>IF('38'!$A$22="","",'38'!$A$22)</f>
        <v/>
      </c>
      <c r="M54" t="str">
        <f>IF('38'!$D$22="","",'38'!$D$22)</f>
        <v/>
      </c>
      <c r="N54" t="str">
        <f>IF('38'!$D$8="","",'38'!$D$8)</f>
        <v/>
      </c>
    </row>
    <row r="55" spans="1:14" x14ac:dyDescent="0.3">
      <c r="A55" t="s">
        <v>66</v>
      </c>
      <c r="B55" t="s">
        <v>1</v>
      </c>
      <c r="C55" t="s">
        <v>387</v>
      </c>
      <c r="E55" s="4" t="str">
        <f>IF(C55='38'!$B$9,"TRUE","")</f>
        <v/>
      </c>
      <c r="F55" s="17">
        <v>0</v>
      </c>
      <c r="G55" s="17">
        <v>2</v>
      </c>
      <c r="H55" t="s">
        <v>18</v>
      </c>
      <c r="J55" s="17">
        <v>38</v>
      </c>
      <c r="K55" s="17">
        <v>3</v>
      </c>
      <c r="L55" t="str">
        <f>IF('38'!$A$22="","",'38'!$A$22)</f>
        <v/>
      </c>
      <c r="M55" t="str">
        <f>IF('38'!$D$22="","",'38'!$D$22)</f>
        <v/>
      </c>
      <c r="N55" t="str">
        <f>IF('38'!$D$8="","",'38'!$D$8)</f>
        <v/>
      </c>
    </row>
    <row r="56" spans="1:14" ht="45.6" customHeight="1" x14ac:dyDescent="0.3">
      <c r="A56" s="3" t="s">
        <v>67</v>
      </c>
      <c r="B56" t="s">
        <v>375</v>
      </c>
      <c r="D56">
        <v>-2</v>
      </c>
      <c r="E56" s="4" t="str">
        <f>IF(B56='38'!$B$11,"TRUE","")</f>
        <v/>
      </c>
      <c r="F56" s="17">
        <v>0</v>
      </c>
      <c r="G56" s="17">
        <v>4</v>
      </c>
      <c r="H56" t="s">
        <v>18</v>
      </c>
      <c r="J56" s="17">
        <v>38</v>
      </c>
      <c r="K56" s="17">
        <v>3</v>
      </c>
      <c r="L56" t="str">
        <f>IF('38'!$A$22="","",'38'!$A$22)</f>
        <v/>
      </c>
      <c r="M56" t="str">
        <f>IF('38'!$D$22="","",'38'!$D$22)</f>
        <v/>
      </c>
      <c r="N56" t="str">
        <f>IF('38'!$D$11="","",'38'!$D$11)</f>
        <v/>
      </c>
    </row>
    <row r="57" spans="1:14" ht="57.6" x14ac:dyDescent="0.3">
      <c r="A57" s="3" t="s">
        <v>67</v>
      </c>
      <c r="B57" t="s">
        <v>1</v>
      </c>
      <c r="C57" s="12" t="s">
        <v>52</v>
      </c>
      <c r="E57" s="4" t="str">
        <f>IF(C57='38'!$B$12,"TRUE","")</f>
        <v/>
      </c>
      <c r="F57" s="17">
        <v>0</v>
      </c>
      <c r="G57" s="17">
        <v>4</v>
      </c>
      <c r="H57" t="s">
        <v>18</v>
      </c>
      <c r="J57" s="17">
        <v>38</v>
      </c>
      <c r="K57" s="17">
        <v>3</v>
      </c>
      <c r="L57" t="str">
        <f>IF('38'!$A$22="","",'38'!$A$22)</f>
        <v/>
      </c>
      <c r="M57" t="str">
        <f>IF('38'!$D$22="","",'38'!$D$22)</f>
        <v/>
      </c>
      <c r="N57" t="str">
        <f>IF('38'!$D$11="","",'38'!$D$11)</f>
        <v/>
      </c>
    </row>
    <row r="58" spans="1:14" ht="57.6" x14ac:dyDescent="0.3">
      <c r="A58" s="3" t="s">
        <v>67</v>
      </c>
      <c r="B58" t="s">
        <v>1</v>
      </c>
      <c r="C58" s="12" t="s">
        <v>61</v>
      </c>
      <c r="E58" s="4" t="str">
        <f>IF(C58='38'!$B$12,"TRUE","")</f>
        <v/>
      </c>
      <c r="F58" s="17">
        <v>0</v>
      </c>
      <c r="G58" s="17">
        <v>4</v>
      </c>
      <c r="H58" t="s">
        <v>18</v>
      </c>
      <c r="J58" s="17">
        <v>38</v>
      </c>
      <c r="K58" s="17">
        <v>3</v>
      </c>
      <c r="L58" t="str">
        <f>IF('38'!$A$22="","",'38'!$A$22)</f>
        <v/>
      </c>
      <c r="M58" t="str">
        <f>IF('38'!$D$22="","",'38'!$D$22)</f>
        <v/>
      </c>
      <c r="N58" t="str">
        <f>IF('38'!$D$11="","",'38'!$D$11)</f>
        <v/>
      </c>
    </row>
    <row r="59" spans="1:14" ht="57.6" x14ac:dyDescent="0.3">
      <c r="A59" s="3" t="s">
        <v>67</v>
      </c>
      <c r="B59" t="s">
        <v>1</v>
      </c>
      <c r="C59" s="12" t="s">
        <v>39</v>
      </c>
      <c r="E59" s="4" t="str">
        <f>IF(C59='38'!$B$12,"TRUE","")</f>
        <v/>
      </c>
      <c r="F59" s="17">
        <v>0</v>
      </c>
      <c r="G59" s="17">
        <v>4</v>
      </c>
      <c r="H59" t="s">
        <v>18</v>
      </c>
      <c r="J59" s="17">
        <v>38</v>
      </c>
      <c r="K59" s="17">
        <v>3</v>
      </c>
      <c r="L59" t="str">
        <f>IF('38'!$A$22="","",'38'!$A$22)</f>
        <v/>
      </c>
      <c r="M59" t="str">
        <f>IF('38'!$D$22="","",'38'!$D$22)</f>
        <v/>
      </c>
      <c r="N59" t="str">
        <f>IF('38'!$D$11="","",'38'!$D$11)</f>
        <v/>
      </c>
    </row>
    <row r="60" spans="1:14" x14ac:dyDescent="0.3">
      <c r="A60" t="s">
        <v>68</v>
      </c>
      <c r="B60" t="s">
        <v>375</v>
      </c>
      <c r="D60">
        <v>-2</v>
      </c>
      <c r="E60" s="4" t="str">
        <f>IF(B60='38'!$B$14,"TRUE","")</f>
        <v/>
      </c>
      <c r="F60" s="17">
        <v>0</v>
      </c>
      <c r="G60" s="17">
        <v>5</v>
      </c>
      <c r="H60" t="s">
        <v>18</v>
      </c>
      <c r="J60" s="17">
        <v>38</v>
      </c>
      <c r="K60" s="17">
        <v>3</v>
      </c>
      <c r="L60" t="str">
        <f>IF('38'!$A$22="","",'38'!$A$22)</f>
        <v/>
      </c>
      <c r="M60" t="str">
        <f>IF('38'!$D$22="","",'38'!$D$22)</f>
        <v/>
      </c>
      <c r="N60" t="str">
        <f>IF('38'!$D$14="","",'38'!$D$14)</f>
        <v/>
      </c>
    </row>
    <row r="61" spans="1:14" x14ac:dyDescent="0.3">
      <c r="A61" t="s">
        <v>68</v>
      </c>
      <c r="B61" t="s">
        <v>1</v>
      </c>
      <c r="C61" s="12" t="s">
        <v>52</v>
      </c>
      <c r="E61" s="4" t="str">
        <f>IF(C61='38'!$B$15,"TRUE","")</f>
        <v/>
      </c>
      <c r="F61" s="17">
        <v>0</v>
      </c>
      <c r="G61" s="17">
        <v>5</v>
      </c>
      <c r="H61" t="s">
        <v>18</v>
      </c>
      <c r="J61" s="17">
        <v>38</v>
      </c>
      <c r="K61" s="17">
        <v>3</v>
      </c>
      <c r="L61" t="str">
        <f>IF('38'!$A$22="","",'38'!$A$22)</f>
        <v/>
      </c>
      <c r="M61" t="str">
        <f>IF('38'!$D$22="","",'38'!$D$22)</f>
        <v/>
      </c>
      <c r="N61" t="str">
        <f>IF('38'!$D$14="","",'38'!$D$14)</f>
        <v/>
      </c>
    </row>
    <row r="62" spans="1:14" x14ac:dyDescent="0.3">
      <c r="A62" t="s">
        <v>68</v>
      </c>
      <c r="B62" t="s">
        <v>1</v>
      </c>
      <c r="C62" s="12" t="s">
        <v>62</v>
      </c>
      <c r="E62" s="4" t="str">
        <f>IF(C62='38'!$B$15,"TRUE","")</f>
        <v/>
      </c>
      <c r="F62" s="17">
        <v>0</v>
      </c>
      <c r="G62" s="17">
        <v>5</v>
      </c>
      <c r="H62" t="s">
        <v>18</v>
      </c>
      <c r="J62" s="17">
        <v>38</v>
      </c>
      <c r="K62" s="17">
        <v>3</v>
      </c>
      <c r="L62" t="str">
        <f>IF('38'!$A$22="","",'38'!$A$22)</f>
        <v/>
      </c>
      <c r="M62" t="str">
        <f>IF('38'!$D$22="","",'38'!$D$22)</f>
        <v/>
      </c>
      <c r="N62" t="str">
        <f>IF('38'!$D$14="","",'38'!$D$14)</f>
        <v/>
      </c>
    </row>
    <row r="63" spans="1:14" x14ac:dyDescent="0.3">
      <c r="A63" t="s">
        <v>68</v>
      </c>
      <c r="B63" t="s">
        <v>1</v>
      </c>
      <c r="C63" s="12" t="s">
        <v>63</v>
      </c>
      <c r="E63" s="4" t="str">
        <f>IF(C63='38'!$B$15,"TRUE","")</f>
        <v/>
      </c>
      <c r="F63" s="17">
        <v>0</v>
      </c>
      <c r="G63" s="17">
        <v>5</v>
      </c>
      <c r="H63" t="s">
        <v>18</v>
      </c>
      <c r="J63" s="17">
        <v>38</v>
      </c>
      <c r="K63" s="17">
        <v>3</v>
      </c>
      <c r="L63" t="str">
        <f>IF('38'!$A$22="","",'38'!$A$22)</f>
        <v/>
      </c>
      <c r="M63" t="str">
        <f>IF('38'!$D$22="","",'38'!$D$22)</f>
        <v/>
      </c>
      <c r="N63" t="str">
        <f>IF('38'!$D$14="","",'38'!$D$14)</f>
        <v/>
      </c>
    </row>
    <row r="64" spans="1:14" x14ac:dyDescent="0.3">
      <c r="A64" t="s">
        <v>68</v>
      </c>
      <c r="B64" t="s">
        <v>1</v>
      </c>
      <c r="C64" s="12" t="s">
        <v>64</v>
      </c>
      <c r="E64" s="4" t="str">
        <f>IF(C64='38'!$B$15,"TRUE","")</f>
        <v/>
      </c>
      <c r="F64" s="17">
        <v>0</v>
      </c>
      <c r="G64" s="17">
        <v>5</v>
      </c>
      <c r="H64" t="s">
        <v>18</v>
      </c>
      <c r="J64" s="17">
        <v>38</v>
      </c>
      <c r="K64" s="17">
        <v>3</v>
      </c>
      <c r="L64" t="str">
        <f>IF('38'!$A$22="","",'38'!$A$22)</f>
        <v/>
      </c>
      <c r="M64" t="str">
        <f>IF('38'!$D$22="","",'38'!$D$22)</f>
        <v/>
      </c>
      <c r="N64" t="str">
        <f>IF('38'!$D$14="","",'38'!$D$14)</f>
        <v/>
      </c>
    </row>
    <row r="65" spans="1:14" hidden="1" x14ac:dyDescent="0.3">
      <c r="A65" t="s">
        <v>341</v>
      </c>
      <c r="B65" t="s">
        <v>375</v>
      </c>
      <c r="D65">
        <v>-2</v>
      </c>
      <c r="E65" s="4" t="str">
        <f>IF(B65='46'!$B$2,"TRUE","")</f>
        <v/>
      </c>
      <c r="F65" s="17">
        <v>0</v>
      </c>
      <c r="G65" s="17">
        <v>0</v>
      </c>
      <c r="H65" t="s">
        <v>16</v>
      </c>
      <c r="J65" s="17">
        <v>46</v>
      </c>
      <c r="K65" s="17">
        <v>10</v>
      </c>
      <c r="L65" t="str">
        <f>IF('46'!$A$15="","",'46'!$A$15)</f>
        <v/>
      </c>
      <c r="M65" t="str">
        <f>IF('46'!$D$15="","",'46'!$D$15)</f>
        <v/>
      </c>
      <c r="N65" t="str">
        <f>IF('46'!$D$2="","",'46'!$D$2)</f>
        <v/>
      </c>
    </row>
    <row r="66" spans="1:14" hidden="1" x14ac:dyDescent="0.3">
      <c r="A66" t="s">
        <v>341</v>
      </c>
      <c r="B66" t="s">
        <v>1</v>
      </c>
      <c r="C66" s="11" t="s">
        <v>39</v>
      </c>
      <c r="E66" s="4" t="str">
        <f>IF(C66='46'!$B$3,"TRUE","")</f>
        <v/>
      </c>
      <c r="F66" s="17">
        <v>0</v>
      </c>
      <c r="G66" s="17">
        <v>0</v>
      </c>
      <c r="H66" t="s">
        <v>16</v>
      </c>
      <c r="J66" s="17">
        <v>46</v>
      </c>
      <c r="K66" s="17">
        <v>10</v>
      </c>
      <c r="L66" t="str">
        <f>IF('46'!$A$15="","",'46'!$A$15)</f>
        <v/>
      </c>
      <c r="M66" t="str">
        <f>IF('46'!$D$15="","",'46'!$D$15)</f>
        <v/>
      </c>
      <c r="N66" t="str">
        <f>IF('46'!$D$2="","",'46'!$D$2)</f>
        <v/>
      </c>
    </row>
    <row r="67" spans="1:14" hidden="1" x14ac:dyDescent="0.3">
      <c r="A67" t="s">
        <v>341</v>
      </c>
      <c r="B67" t="s">
        <v>1</v>
      </c>
      <c r="C67" s="12" t="s">
        <v>20</v>
      </c>
      <c r="E67" s="4" t="str">
        <f>IF(C67='46'!$B$3,"TRUE","")</f>
        <v/>
      </c>
      <c r="F67" s="17">
        <v>0</v>
      </c>
      <c r="G67" s="17">
        <v>0</v>
      </c>
      <c r="H67" t="s">
        <v>16</v>
      </c>
      <c r="J67" s="17">
        <v>46</v>
      </c>
      <c r="K67" s="17">
        <v>10</v>
      </c>
      <c r="L67" t="str">
        <f>IF('46'!$A$15="","",'46'!$A$15)</f>
        <v/>
      </c>
      <c r="M67" t="str">
        <f>IF('46'!$D$15="","",'46'!$D$15)</f>
        <v/>
      </c>
      <c r="N67" t="str">
        <f>IF('46'!$D$2="","",'46'!$D$2)</f>
        <v/>
      </c>
    </row>
    <row r="68" spans="1:14" hidden="1" x14ac:dyDescent="0.3">
      <c r="A68" t="s">
        <v>341</v>
      </c>
      <c r="B68" t="s">
        <v>1</v>
      </c>
      <c r="C68" s="11" t="s">
        <v>375</v>
      </c>
      <c r="E68" s="4" t="str">
        <f>IF(C68='46'!$B$3,"TRUE","")</f>
        <v/>
      </c>
      <c r="F68" s="17">
        <v>0</v>
      </c>
      <c r="G68" s="17">
        <v>0</v>
      </c>
      <c r="H68" t="s">
        <v>16</v>
      </c>
      <c r="J68" s="17">
        <v>46</v>
      </c>
      <c r="K68" s="17">
        <v>10</v>
      </c>
      <c r="L68" t="str">
        <f>IF('46'!$A$15="","",'46'!$A$15)</f>
        <v/>
      </c>
      <c r="M68" t="str">
        <f>IF('46'!$D$15="","",'46'!$D$15)</f>
        <v/>
      </c>
      <c r="N68" t="str">
        <f>IF('46'!$D$2="","",'46'!$D$2)</f>
        <v/>
      </c>
    </row>
    <row r="69" spans="1:14" hidden="1" x14ac:dyDescent="0.3">
      <c r="A69" t="s">
        <v>70</v>
      </c>
      <c r="B69" t="s">
        <v>375</v>
      </c>
      <c r="D69">
        <v>-2</v>
      </c>
      <c r="E69" s="4" t="str">
        <f>IF(B69='46'!$B$5,"TRUE","")</f>
        <v/>
      </c>
      <c r="F69" s="17">
        <v>0</v>
      </c>
      <c r="G69" s="17">
        <v>1</v>
      </c>
      <c r="H69" t="s">
        <v>16</v>
      </c>
      <c r="J69" s="17">
        <v>46</v>
      </c>
      <c r="K69" s="17">
        <v>10</v>
      </c>
      <c r="L69" t="str">
        <f>IF('46'!$A$15="","",'46'!$A$15)</f>
        <v/>
      </c>
      <c r="M69" t="str">
        <f>IF('46'!$D$15="","",'46'!$D$15)</f>
        <v/>
      </c>
      <c r="N69" t="str">
        <f>IF('46'!$D$5="","",'46'!$D$5)</f>
        <v/>
      </c>
    </row>
    <row r="70" spans="1:14" hidden="1" x14ac:dyDescent="0.3">
      <c r="A70" t="s">
        <v>70</v>
      </c>
      <c r="B70" t="s">
        <v>1</v>
      </c>
      <c r="C70" s="18" t="s">
        <v>73</v>
      </c>
      <c r="E70" s="4" t="str">
        <f>IF(C70='46'!$B$6,"TRUE","")</f>
        <v/>
      </c>
      <c r="F70" s="17">
        <v>0</v>
      </c>
      <c r="G70" s="17">
        <v>1</v>
      </c>
      <c r="H70" t="s">
        <v>16</v>
      </c>
      <c r="J70" s="17">
        <v>46</v>
      </c>
      <c r="K70" s="17">
        <v>10</v>
      </c>
      <c r="L70" t="str">
        <f>IF('46'!$A$15="","",'46'!$A$15)</f>
        <v/>
      </c>
      <c r="M70" t="str">
        <f>IF('46'!$D$15="","",'46'!$D$15)</f>
        <v/>
      </c>
      <c r="N70" t="str">
        <f>IF('46'!$D$5="","",'46'!$D$5)</f>
        <v/>
      </c>
    </row>
    <row r="71" spans="1:14" hidden="1" x14ac:dyDescent="0.3">
      <c r="A71" t="s">
        <v>70</v>
      </c>
      <c r="B71" t="s">
        <v>1</v>
      </c>
      <c r="C71" s="12" t="s">
        <v>74</v>
      </c>
      <c r="E71" s="4" t="str">
        <f>IF(C71='46'!$B$6,"TRUE","")</f>
        <v/>
      </c>
      <c r="F71" s="17">
        <v>0</v>
      </c>
      <c r="G71" s="17">
        <v>1</v>
      </c>
      <c r="H71" t="s">
        <v>16</v>
      </c>
      <c r="J71" s="17">
        <v>46</v>
      </c>
      <c r="K71" s="17">
        <v>10</v>
      </c>
      <c r="L71" t="str">
        <f>IF('46'!$A$15="","",'46'!$A$15)</f>
        <v/>
      </c>
      <c r="M71" t="str">
        <f>IF('46'!$D$15="","",'46'!$D$15)</f>
        <v/>
      </c>
      <c r="N71" t="str">
        <f>IF('46'!$D$5="","",'46'!$D$5)</f>
        <v/>
      </c>
    </row>
    <row r="72" spans="1:14" hidden="1" x14ac:dyDescent="0.3">
      <c r="A72" t="s">
        <v>70</v>
      </c>
      <c r="B72" t="s">
        <v>1</v>
      </c>
      <c r="C72" s="11" t="s">
        <v>75</v>
      </c>
      <c r="E72" s="4" t="str">
        <f>IF(C72='46'!$B$6,"TRUE","")</f>
        <v/>
      </c>
      <c r="F72" s="17">
        <v>0</v>
      </c>
      <c r="G72" s="17">
        <v>1</v>
      </c>
      <c r="H72" t="s">
        <v>16</v>
      </c>
      <c r="J72" s="17">
        <v>46</v>
      </c>
      <c r="K72" s="17">
        <v>10</v>
      </c>
      <c r="L72" t="str">
        <f>IF('46'!$A$15="","",'46'!$A$15)</f>
        <v/>
      </c>
      <c r="M72" t="str">
        <f>IF('46'!$D$15="","",'46'!$D$15)</f>
        <v/>
      </c>
      <c r="N72" t="str">
        <f>IF('46'!$D$5="","",'46'!$D$5)</f>
        <v/>
      </c>
    </row>
    <row r="73" spans="1:14" hidden="1" x14ac:dyDescent="0.3">
      <c r="A73" t="s">
        <v>70</v>
      </c>
      <c r="B73" t="s">
        <v>1</v>
      </c>
      <c r="C73" s="11" t="s">
        <v>76</v>
      </c>
      <c r="E73" s="4" t="str">
        <f>IF(C73='46'!$B$6,"TRUE","")</f>
        <v/>
      </c>
      <c r="F73" s="17">
        <v>0</v>
      </c>
      <c r="G73" s="17">
        <v>1</v>
      </c>
      <c r="H73" t="s">
        <v>16</v>
      </c>
      <c r="J73" s="17">
        <v>46</v>
      </c>
      <c r="K73" s="17">
        <v>10</v>
      </c>
      <c r="L73" t="str">
        <f>IF('46'!$A$15="","",'46'!$A$15)</f>
        <v/>
      </c>
      <c r="M73" t="str">
        <f>IF('46'!$D$15="","",'46'!$D$15)</f>
        <v/>
      </c>
      <c r="N73" t="str">
        <f>IF('46'!$D$5="","",'46'!$D$5)</f>
        <v/>
      </c>
    </row>
    <row r="74" spans="1:14" hidden="1" x14ac:dyDescent="0.3">
      <c r="A74" t="s">
        <v>70</v>
      </c>
      <c r="B74" t="s">
        <v>1</v>
      </c>
      <c r="C74" s="11" t="s">
        <v>77</v>
      </c>
      <c r="E74" s="4" t="str">
        <f>IF(C74='46'!$B$6,"TRUE","")</f>
        <v/>
      </c>
      <c r="F74" s="17">
        <v>0</v>
      </c>
      <c r="G74" s="17">
        <v>1</v>
      </c>
      <c r="H74" t="s">
        <v>16</v>
      </c>
      <c r="J74" s="17">
        <v>46</v>
      </c>
      <c r="K74" s="17">
        <v>10</v>
      </c>
      <c r="L74" t="str">
        <f>IF('46'!$A$15="","",'46'!$A$15)</f>
        <v/>
      </c>
      <c r="M74" t="str">
        <f>IF('46'!$D$15="","",'46'!$D$15)</f>
        <v/>
      </c>
      <c r="N74" t="str">
        <f>IF('46'!$D$5="","",'46'!$D$5)</f>
        <v/>
      </c>
    </row>
    <row r="75" spans="1:14" hidden="1" x14ac:dyDescent="0.3">
      <c r="A75" t="s">
        <v>70</v>
      </c>
      <c r="B75" t="s">
        <v>1</v>
      </c>
      <c r="C75" s="11" t="s">
        <v>78</v>
      </c>
      <c r="E75" s="4" t="str">
        <f>IF(C75='46'!$B$6,"TRUE","")</f>
        <v/>
      </c>
      <c r="F75" s="17">
        <v>0</v>
      </c>
      <c r="G75" s="17">
        <v>1</v>
      </c>
      <c r="H75" t="s">
        <v>16</v>
      </c>
      <c r="J75" s="17">
        <v>46</v>
      </c>
      <c r="K75" s="17">
        <v>10</v>
      </c>
      <c r="L75" t="str">
        <f>IF('46'!$A$15="","",'46'!$A$15)</f>
        <v/>
      </c>
      <c r="M75" t="str">
        <f>IF('46'!$D$15="","",'46'!$D$15)</f>
        <v/>
      </c>
      <c r="N75" t="str">
        <f>IF('46'!$D$5="","",'46'!$D$5)</f>
        <v/>
      </c>
    </row>
    <row r="76" spans="1:14" hidden="1" x14ac:dyDescent="0.3">
      <c r="A76" t="s">
        <v>71</v>
      </c>
      <c r="B76" t="s">
        <v>375</v>
      </c>
      <c r="D76">
        <v>-2</v>
      </c>
      <c r="E76" s="4" t="str">
        <f>IF(B76='46'!$B$8,"TRUE","")</f>
        <v/>
      </c>
      <c r="F76" s="17">
        <v>0</v>
      </c>
      <c r="G76" s="17">
        <v>2</v>
      </c>
      <c r="H76" t="s">
        <v>16</v>
      </c>
      <c r="J76" s="17">
        <v>46</v>
      </c>
      <c r="K76" s="17">
        <v>10</v>
      </c>
      <c r="L76" t="str">
        <f>IF('46'!$A$15="","",'46'!$A$15)</f>
        <v/>
      </c>
      <c r="M76" t="str">
        <f>IF('46'!$D$15="","",'46'!$D$15)</f>
        <v/>
      </c>
      <c r="N76" t="str">
        <f>IF('46'!$D$8="","",'46'!$D$8)</f>
        <v/>
      </c>
    </row>
    <row r="77" spans="1:14" hidden="1" x14ac:dyDescent="0.3">
      <c r="A77" t="s">
        <v>71</v>
      </c>
      <c r="B77" t="s">
        <v>1</v>
      </c>
      <c r="C77" s="11" t="s">
        <v>20</v>
      </c>
      <c r="E77" s="4" t="str">
        <f>IF(C77='46'!$B$9,"TRUE","")</f>
        <v/>
      </c>
      <c r="F77" s="17">
        <v>0</v>
      </c>
      <c r="G77" s="17">
        <v>2</v>
      </c>
      <c r="H77" t="s">
        <v>16</v>
      </c>
      <c r="J77" s="17">
        <v>46</v>
      </c>
      <c r="K77" s="17">
        <v>10</v>
      </c>
      <c r="L77" t="str">
        <f>IF('46'!$A$15="","",'46'!$A$15)</f>
        <v/>
      </c>
      <c r="M77" t="str">
        <f>IF('46'!$D$15="","",'46'!$D$15)</f>
        <v/>
      </c>
      <c r="N77" t="str">
        <f>IF('46'!$D$8="","",'46'!$D$8)</f>
        <v/>
      </c>
    </row>
    <row r="78" spans="1:14" hidden="1" x14ac:dyDescent="0.3">
      <c r="A78" t="s">
        <v>71</v>
      </c>
      <c r="B78" t="s">
        <v>1</v>
      </c>
      <c r="C78" s="12" t="s">
        <v>79</v>
      </c>
      <c r="E78" s="4" t="str">
        <f>IF(C78='46'!$B$9,"TRUE","")</f>
        <v/>
      </c>
      <c r="F78" s="17">
        <v>0</v>
      </c>
      <c r="G78" s="17">
        <v>2</v>
      </c>
      <c r="H78" t="s">
        <v>16</v>
      </c>
      <c r="J78" s="17">
        <v>46</v>
      </c>
      <c r="K78" s="17">
        <v>10</v>
      </c>
      <c r="L78" t="str">
        <f>IF('46'!$A$15="","",'46'!$A$15)</f>
        <v/>
      </c>
      <c r="M78" t="str">
        <f>IF('46'!$D$15="","",'46'!$D$15)</f>
        <v/>
      </c>
      <c r="N78" t="str">
        <f>IF('46'!$D$8="","",'46'!$D$8)</f>
        <v/>
      </c>
    </row>
    <row r="79" spans="1:14" hidden="1" x14ac:dyDescent="0.3">
      <c r="A79" t="s">
        <v>71</v>
      </c>
      <c r="B79" t="s">
        <v>1</v>
      </c>
      <c r="C79" s="11" t="s">
        <v>80</v>
      </c>
      <c r="E79" s="4" t="str">
        <f>IF(C79='46'!$B$9,"TRUE","")</f>
        <v/>
      </c>
      <c r="F79" s="17">
        <v>0</v>
      </c>
      <c r="G79" s="17">
        <v>2</v>
      </c>
      <c r="H79" t="s">
        <v>16</v>
      </c>
      <c r="J79" s="17">
        <v>46</v>
      </c>
      <c r="K79" s="17">
        <v>10</v>
      </c>
      <c r="L79" t="str">
        <f>IF('46'!$A$15="","",'46'!$A$15)</f>
        <v/>
      </c>
      <c r="M79" t="str">
        <f>IF('46'!$D$15="","",'46'!$D$15)</f>
        <v/>
      </c>
      <c r="N79" t="str">
        <f>IF('46'!$D$8="","",'46'!$D$8)</f>
        <v/>
      </c>
    </row>
    <row r="80" spans="1:14" hidden="1" x14ac:dyDescent="0.3">
      <c r="A80" t="s">
        <v>72</v>
      </c>
      <c r="B80" t="s">
        <v>375</v>
      </c>
      <c r="D80">
        <v>-2</v>
      </c>
      <c r="E80" s="4" t="str">
        <f>IF(B80='46'!$B$11,"TRUE","")</f>
        <v/>
      </c>
      <c r="F80" s="17">
        <v>0</v>
      </c>
      <c r="G80" s="17">
        <v>3</v>
      </c>
      <c r="H80" t="s">
        <v>16</v>
      </c>
      <c r="J80" s="17">
        <v>46</v>
      </c>
      <c r="K80" s="17">
        <v>10</v>
      </c>
      <c r="L80" t="str">
        <f>IF('46'!$A$15="","",'46'!$A$15)</f>
        <v/>
      </c>
      <c r="M80" t="str">
        <f>IF('46'!$D$15="","",'46'!$D$15)</f>
        <v/>
      </c>
      <c r="N80" t="str">
        <f>IF('46'!$D$11="","",'46'!$D$11)</f>
        <v/>
      </c>
    </row>
    <row r="81" spans="1:14" hidden="1" x14ac:dyDescent="0.3">
      <c r="A81" t="s">
        <v>72</v>
      </c>
      <c r="B81" t="s">
        <v>1</v>
      </c>
      <c r="C81" s="16" t="s">
        <v>81</v>
      </c>
      <c r="E81" s="4" t="str">
        <f>IF(C81='46'!$B$12,"TRUE","")</f>
        <v/>
      </c>
      <c r="F81" s="17">
        <v>0</v>
      </c>
      <c r="G81" s="17">
        <v>3</v>
      </c>
      <c r="H81" t="s">
        <v>16</v>
      </c>
      <c r="J81" s="17">
        <v>46</v>
      </c>
      <c r="K81" s="17">
        <v>10</v>
      </c>
      <c r="L81" t="str">
        <f>IF('46'!$A$15="","",'46'!$A$15)</f>
        <v/>
      </c>
      <c r="M81" t="str">
        <f>IF('46'!$D$15="","",'46'!$D$15)</f>
        <v/>
      </c>
      <c r="N81" t="str">
        <f>IF('46'!$D$11="","",'46'!$D$11)</f>
        <v/>
      </c>
    </row>
    <row r="82" spans="1:14" hidden="1" x14ac:dyDescent="0.3">
      <c r="A82" t="s">
        <v>72</v>
      </c>
      <c r="B82" t="s">
        <v>1</v>
      </c>
      <c r="C82" s="19" t="s">
        <v>82</v>
      </c>
      <c r="E82" s="4" t="str">
        <f>IF(C82='46'!$B$12,"TRUE","")</f>
        <v/>
      </c>
      <c r="F82" s="17">
        <v>0</v>
      </c>
      <c r="G82" s="17">
        <v>3</v>
      </c>
      <c r="H82" t="s">
        <v>16</v>
      </c>
      <c r="J82" s="17">
        <v>46</v>
      </c>
      <c r="K82" s="17">
        <v>10</v>
      </c>
      <c r="L82" t="str">
        <f>IF('46'!$A$15="","",'46'!$A$15)</f>
        <v/>
      </c>
      <c r="M82" t="str">
        <f>IF('46'!$D$15="","",'46'!$D$15)</f>
        <v/>
      </c>
      <c r="N82" t="str">
        <f>IF('46'!$D$11="","",'46'!$D$11)</f>
        <v/>
      </c>
    </row>
    <row r="83" spans="1:14" hidden="1" x14ac:dyDescent="0.3">
      <c r="A83" t="s">
        <v>72</v>
      </c>
      <c r="B83" t="s">
        <v>1</v>
      </c>
      <c r="C83" s="19" t="s">
        <v>83</v>
      </c>
      <c r="E83" s="4" t="str">
        <f>IF(C83='46'!$B$12,"TRUE","")</f>
        <v/>
      </c>
      <c r="F83" s="17">
        <v>0</v>
      </c>
      <c r="G83" s="17">
        <v>3</v>
      </c>
      <c r="H83" t="s">
        <v>16</v>
      </c>
      <c r="J83" s="17">
        <v>46</v>
      </c>
      <c r="K83" s="17">
        <v>10</v>
      </c>
      <c r="L83" t="str">
        <f>IF('46'!$A$15="","",'46'!$A$15)</f>
        <v/>
      </c>
      <c r="M83" t="str">
        <f>IF('46'!$D$15="","",'46'!$D$15)</f>
        <v/>
      </c>
      <c r="N83" t="str">
        <f>IF('46'!$D$11="","",'46'!$D$11)</f>
        <v/>
      </c>
    </row>
    <row r="84" spans="1:14" hidden="1" x14ac:dyDescent="0.3">
      <c r="A84" s="20" t="s">
        <v>266</v>
      </c>
      <c r="B84" s="21" t="s">
        <v>375</v>
      </c>
      <c r="C84" s="21"/>
      <c r="D84">
        <v>-2</v>
      </c>
      <c r="E84" s="4" t="str">
        <f>IF(B84='10'!$B$2,"TRUE","")</f>
        <v/>
      </c>
      <c r="F84" s="34">
        <v>0</v>
      </c>
      <c r="G84" s="34">
        <v>0</v>
      </c>
      <c r="H84" s="21" t="s">
        <v>16</v>
      </c>
      <c r="I84" s="21"/>
      <c r="J84" s="34">
        <v>10</v>
      </c>
      <c r="K84" s="34">
        <v>1</v>
      </c>
      <c r="L84" t="str">
        <f>IF('10'!$A$13="","",'10'!$A$13)</f>
        <v/>
      </c>
      <c r="M84" t="str">
        <f>IF('10'!$D$13="","",'10'!$D$13)</f>
        <v/>
      </c>
      <c r="N84" t="str">
        <f>IF('10'!$E$2="","",'10'!$E$2)</f>
        <v/>
      </c>
    </row>
    <row r="85" spans="1:14" hidden="1" x14ac:dyDescent="0.3">
      <c r="A85" s="20" t="s">
        <v>266</v>
      </c>
      <c r="B85" s="21" t="s">
        <v>1</v>
      </c>
      <c r="C85" s="22" t="s">
        <v>259</v>
      </c>
      <c r="E85" t="str">
        <f>IF(VLOOKUP(C85,'10'!$A$3:$B$10,2,FALSE)="Yes", "TRUE", "")</f>
        <v/>
      </c>
      <c r="F85" s="34">
        <v>0</v>
      </c>
      <c r="G85" s="34">
        <v>0</v>
      </c>
      <c r="H85" s="21" t="s">
        <v>16</v>
      </c>
      <c r="I85" s="21"/>
      <c r="J85" s="34">
        <v>10</v>
      </c>
      <c r="K85" s="34">
        <v>1</v>
      </c>
      <c r="L85" t="str">
        <f>IF('10'!$A$13="","",'10'!$A$13)</f>
        <v/>
      </c>
      <c r="M85" t="str">
        <f>IF('10'!$D$13="","",'10'!$D$13)</f>
        <v/>
      </c>
      <c r="N85" t="str">
        <f>IF('10'!$E$2="","",'10'!$E$2)</f>
        <v/>
      </c>
    </row>
    <row r="86" spans="1:14" hidden="1" x14ac:dyDescent="0.3">
      <c r="A86" s="20" t="s">
        <v>266</v>
      </c>
      <c r="B86" s="21" t="s">
        <v>1</v>
      </c>
      <c r="C86" s="22" t="s">
        <v>260</v>
      </c>
      <c r="E86" t="str">
        <f>IF(VLOOKUP(C86,'10'!$A$3:$B$10,2,FALSE)="Yes", "TRUE", "")</f>
        <v/>
      </c>
      <c r="F86" s="34">
        <v>0</v>
      </c>
      <c r="G86" s="34">
        <v>0</v>
      </c>
      <c r="H86" s="21" t="s">
        <v>16</v>
      </c>
      <c r="I86" s="21"/>
      <c r="J86" s="34">
        <v>10</v>
      </c>
      <c r="K86" s="34">
        <v>1</v>
      </c>
      <c r="L86" t="str">
        <f>IF('10'!$A$13="","",'10'!$A$13)</f>
        <v/>
      </c>
      <c r="M86" t="str">
        <f>IF('10'!$D$13="","",'10'!$D$13)</f>
        <v/>
      </c>
      <c r="N86" t="str">
        <f>IF('10'!$E$2="","",'10'!$E$2)</f>
        <v/>
      </c>
    </row>
    <row r="87" spans="1:14" hidden="1" x14ac:dyDescent="0.3">
      <c r="A87" s="20" t="s">
        <v>266</v>
      </c>
      <c r="B87" s="21" t="s">
        <v>1</v>
      </c>
      <c r="C87" s="22" t="s">
        <v>261</v>
      </c>
      <c r="E87" t="str">
        <f>IF(VLOOKUP(C87,'10'!$A$3:$B$10,2,FALSE)="Yes", "TRUE", "")</f>
        <v/>
      </c>
      <c r="F87" s="34">
        <v>0</v>
      </c>
      <c r="G87" s="34">
        <v>0</v>
      </c>
      <c r="H87" s="21" t="s">
        <v>16</v>
      </c>
      <c r="I87" s="21"/>
      <c r="J87" s="34">
        <v>10</v>
      </c>
      <c r="K87" s="34">
        <v>1</v>
      </c>
      <c r="L87" t="str">
        <f>IF('10'!$A$13="","",'10'!$A$13)</f>
        <v/>
      </c>
      <c r="M87" t="str">
        <f>IF('10'!$D$13="","",'10'!$D$13)</f>
        <v/>
      </c>
      <c r="N87" t="str">
        <f>IF('10'!$E$2="","",'10'!$E$2)</f>
        <v/>
      </c>
    </row>
    <row r="88" spans="1:14" ht="18" hidden="1" customHeight="1" x14ac:dyDescent="0.3">
      <c r="A88" s="20" t="s">
        <v>266</v>
      </c>
      <c r="B88" s="21" t="s">
        <v>1</v>
      </c>
      <c r="C88" s="22" t="s">
        <v>262</v>
      </c>
      <c r="E88" t="str">
        <f>IF(VLOOKUP(C88,'10'!$A$3:$B$10,2,FALSE)="Yes", "TRUE", "")</f>
        <v/>
      </c>
      <c r="F88" s="34">
        <v>0</v>
      </c>
      <c r="G88" s="34">
        <v>0</v>
      </c>
      <c r="H88" s="21" t="s">
        <v>16</v>
      </c>
      <c r="I88" s="21"/>
      <c r="J88" s="34">
        <v>10</v>
      </c>
      <c r="K88" s="34">
        <v>1</v>
      </c>
      <c r="L88" t="str">
        <f>IF('10'!$A$13="","",'10'!$A$13)</f>
        <v/>
      </c>
      <c r="M88" t="str">
        <f>IF('10'!$D$13="","",'10'!$D$13)</f>
        <v/>
      </c>
      <c r="N88" t="str">
        <f>IF('10'!$E$2="","",'10'!$E$2)</f>
        <v/>
      </c>
    </row>
    <row r="89" spans="1:14" ht="18" hidden="1" customHeight="1" x14ac:dyDescent="0.3">
      <c r="A89" s="20" t="s">
        <v>266</v>
      </c>
      <c r="B89" s="21" t="s">
        <v>1</v>
      </c>
      <c r="C89" s="22" t="s">
        <v>263</v>
      </c>
      <c r="E89" t="str">
        <f>IF(VLOOKUP(C89,'10'!$A$3:$B$10,2,FALSE)="Yes", "TRUE", "")</f>
        <v/>
      </c>
      <c r="F89" s="34">
        <v>0</v>
      </c>
      <c r="G89" s="34">
        <v>0</v>
      </c>
      <c r="H89" s="21" t="s">
        <v>16</v>
      </c>
      <c r="I89" s="21"/>
      <c r="J89" s="34">
        <v>10</v>
      </c>
      <c r="K89" s="34">
        <v>1</v>
      </c>
      <c r="L89" t="str">
        <f>IF('10'!$A$13="","",'10'!$A$13)</f>
        <v/>
      </c>
      <c r="M89" t="str">
        <f>IF('10'!$D$13="","",'10'!$D$13)</f>
        <v/>
      </c>
      <c r="N89" t="str">
        <f>IF('10'!$E$2="","",'10'!$E$2)</f>
        <v/>
      </c>
    </row>
    <row r="90" spans="1:14" ht="18" hidden="1" customHeight="1" x14ac:dyDescent="0.3">
      <c r="A90" s="20" t="s">
        <v>266</v>
      </c>
      <c r="B90" s="21" t="s">
        <v>1</v>
      </c>
      <c r="C90" s="22" t="s">
        <v>84</v>
      </c>
      <c r="E90" t="str">
        <f>IF(VLOOKUP(C90,'10'!$A$3:$B$10,2,FALSE)="Yes", "TRUE", "")</f>
        <v/>
      </c>
      <c r="F90" s="34">
        <v>0</v>
      </c>
      <c r="G90" s="34">
        <v>0</v>
      </c>
      <c r="H90" s="21" t="s">
        <v>16</v>
      </c>
      <c r="I90" s="21"/>
      <c r="J90" s="34">
        <v>10</v>
      </c>
      <c r="K90" s="34">
        <v>1</v>
      </c>
      <c r="L90" t="str">
        <f>IF('10'!$A$13="","",'10'!$A$13)</f>
        <v/>
      </c>
      <c r="M90" t="str">
        <f>IF('10'!$D$13="","",'10'!$D$13)</f>
        <v/>
      </c>
      <c r="N90" t="str">
        <f>IF('10'!$E$2="","",'10'!$E$2)</f>
        <v/>
      </c>
    </row>
    <row r="91" spans="1:14" ht="18" hidden="1" customHeight="1" x14ac:dyDescent="0.3">
      <c r="A91" s="20" t="s">
        <v>266</v>
      </c>
      <c r="B91" s="21" t="s">
        <v>1</v>
      </c>
      <c r="C91" s="22" t="s">
        <v>264</v>
      </c>
      <c r="E91" t="str">
        <f>IF(VLOOKUP(C91,'10'!$A$3:$B$10,2,FALSE)="Yes", "TRUE", "")</f>
        <v/>
      </c>
      <c r="F91" s="34">
        <v>0</v>
      </c>
      <c r="G91" s="34">
        <v>0</v>
      </c>
      <c r="H91" s="21" t="s">
        <v>16</v>
      </c>
      <c r="I91" s="21"/>
      <c r="J91" s="34">
        <v>10</v>
      </c>
      <c r="K91" s="34">
        <v>1</v>
      </c>
      <c r="L91" t="str">
        <f>IF('10'!$A$13="","",'10'!$A$13)</f>
        <v/>
      </c>
      <c r="M91" t="str">
        <f>IF('10'!$D$13="","",'10'!$D$13)</f>
        <v/>
      </c>
      <c r="N91" t="str">
        <f>IF('10'!$E$2="","",'10'!$E$2)</f>
        <v/>
      </c>
    </row>
    <row r="92" spans="1:14" ht="18" hidden="1" customHeight="1" x14ac:dyDescent="0.3">
      <c r="A92" s="20" t="s">
        <v>266</v>
      </c>
      <c r="B92" s="21" t="s">
        <v>1</v>
      </c>
      <c r="C92" s="22" t="s">
        <v>265</v>
      </c>
      <c r="E92" t="str">
        <f>IF(VLOOKUP(C92,'10'!$A$3:$B$10,2,FALSE)="Yes", "TRUE", "")</f>
        <v/>
      </c>
      <c r="F92" s="34">
        <v>0</v>
      </c>
      <c r="G92" s="34">
        <v>0</v>
      </c>
      <c r="H92" s="21" t="s">
        <v>16</v>
      </c>
      <c r="I92" s="21"/>
      <c r="J92" s="34">
        <v>10</v>
      </c>
      <c r="K92" s="34">
        <v>1</v>
      </c>
      <c r="L92" t="str">
        <f>IF('10'!$A$13="","",'10'!$A$13)</f>
        <v/>
      </c>
      <c r="M92" t="str">
        <f>IF('10'!$D$13="","",'10'!$D$13)</f>
        <v/>
      </c>
      <c r="N92" t="str">
        <f>IF('10'!$E$2="","",'10'!$E$2)</f>
        <v/>
      </c>
    </row>
    <row r="93" spans="1:14" hidden="1" x14ac:dyDescent="0.3">
      <c r="A93" s="20" t="s">
        <v>271</v>
      </c>
      <c r="B93" s="20" t="s">
        <v>375</v>
      </c>
      <c r="C93" s="21"/>
      <c r="D93">
        <v>-2</v>
      </c>
      <c r="E93" s="4" t="str">
        <f>IF(B93='39'!$B$2,"TRUE","")</f>
        <v/>
      </c>
      <c r="F93" s="35">
        <v>0</v>
      </c>
      <c r="G93" s="35">
        <v>0</v>
      </c>
      <c r="H93" s="21" t="s">
        <v>16</v>
      </c>
      <c r="I93" s="21"/>
      <c r="J93" s="34">
        <v>39</v>
      </c>
      <c r="K93" s="34">
        <v>4</v>
      </c>
      <c r="L93" t="str">
        <f>IF('39'!$A$24="","",'39'!$A$24)</f>
        <v/>
      </c>
      <c r="M93" t="str">
        <f>IF('39'!$D$24="","",'39'!$D$24)</f>
        <v/>
      </c>
      <c r="N93" t="str">
        <f>IF('39'!$E$2="","",'39'!$E$2)</f>
        <v/>
      </c>
    </row>
    <row r="94" spans="1:14" hidden="1" x14ac:dyDescent="0.3">
      <c r="A94" s="20" t="s">
        <v>271</v>
      </c>
      <c r="B94" s="21" t="s">
        <v>1</v>
      </c>
      <c r="C94" s="21" t="s">
        <v>85</v>
      </c>
      <c r="E94" t="str">
        <f>IF(VLOOKUP(C94,'39'!$A$3:$B$6,2,FALSE)="Yes", "TRUE", "")</f>
        <v/>
      </c>
      <c r="F94" s="35">
        <v>0</v>
      </c>
      <c r="G94" s="35">
        <v>0</v>
      </c>
      <c r="H94" s="21" t="s">
        <v>16</v>
      </c>
      <c r="I94" s="21"/>
      <c r="J94" s="34">
        <v>39</v>
      </c>
      <c r="K94" s="34">
        <v>4</v>
      </c>
      <c r="L94" t="str">
        <f>IF('39'!$A$24="","",'39'!$A$24)</f>
        <v/>
      </c>
      <c r="M94" t="str">
        <f>IF('39'!$D$24="","",'39'!$D$24)</f>
        <v/>
      </c>
      <c r="N94" t="str">
        <f>IF('39'!$E$2="","",'39'!$E$2)</f>
        <v/>
      </c>
    </row>
    <row r="95" spans="1:14" hidden="1" x14ac:dyDescent="0.3">
      <c r="A95" s="20" t="s">
        <v>271</v>
      </c>
      <c r="B95" s="21" t="s">
        <v>1</v>
      </c>
      <c r="C95" s="21" t="s">
        <v>86</v>
      </c>
      <c r="E95" t="str">
        <f>IF(VLOOKUP(C95,'39'!$A$3:$B$6,2,FALSE)="Yes", "TRUE", "")</f>
        <v/>
      </c>
      <c r="F95" s="35">
        <v>0</v>
      </c>
      <c r="G95" s="35">
        <v>0</v>
      </c>
      <c r="H95" s="21" t="s">
        <v>16</v>
      </c>
      <c r="I95" s="21"/>
      <c r="J95" s="34">
        <v>39</v>
      </c>
      <c r="K95" s="34">
        <v>4</v>
      </c>
      <c r="L95" t="str">
        <f>IF('39'!$A$24="","",'39'!$A$24)</f>
        <v/>
      </c>
      <c r="M95" t="str">
        <f>IF('39'!$D$24="","",'39'!$D$24)</f>
        <v/>
      </c>
      <c r="N95" t="str">
        <f>IF('39'!$E$2="","",'39'!$E$2)</f>
        <v/>
      </c>
    </row>
    <row r="96" spans="1:14" hidden="1" x14ac:dyDescent="0.3">
      <c r="A96" s="20" t="s">
        <v>271</v>
      </c>
      <c r="B96" s="21" t="s">
        <v>1</v>
      </c>
      <c r="C96" s="21" t="s">
        <v>272</v>
      </c>
      <c r="E96" t="str">
        <f>IF(VLOOKUP(C96,'39'!$A$3:$B$6,2,FALSE)="Yes", "TRUE", "")</f>
        <v/>
      </c>
      <c r="F96" s="35">
        <v>0</v>
      </c>
      <c r="G96" s="35">
        <v>0</v>
      </c>
      <c r="H96" s="21" t="s">
        <v>16</v>
      </c>
      <c r="I96" s="21"/>
      <c r="J96" s="34">
        <v>39</v>
      </c>
      <c r="K96" s="34">
        <v>4</v>
      </c>
      <c r="L96" t="str">
        <f>IF('39'!$A$24="","",'39'!$A$24)</f>
        <v/>
      </c>
      <c r="M96" t="str">
        <f>IF('39'!$D$24="","",'39'!$D$24)</f>
        <v/>
      </c>
      <c r="N96" t="str">
        <f>IF('39'!$E$2="","",'39'!$E$2)</f>
        <v/>
      </c>
    </row>
    <row r="97" spans="1:14" hidden="1" x14ac:dyDescent="0.3">
      <c r="A97" s="20" t="s">
        <v>271</v>
      </c>
      <c r="B97" s="21" t="s">
        <v>1</v>
      </c>
      <c r="C97" s="21" t="s">
        <v>87</v>
      </c>
      <c r="E97" t="str">
        <f>IF(VLOOKUP(C97,'39'!$A$3:$B$6,2,FALSE)="Yes", "TRUE", "")</f>
        <v/>
      </c>
      <c r="F97" s="35">
        <v>0</v>
      </c>
      <c r="G97" s="35">
        <v>0</v>
      </c>
      <c r="H97" s="21" t="s">
        <v>16</v>
      </c>
      <c r="I97" s="21"/>
      <c r="J97" s="34">
        <v>39</v>
      </c>
      <c r="K97" s="34">
        <v>4</v>
      </c>
      <c r="L97" t="str">
        <f>IF('39'!$A$24="","",'39'!$A$24)</f>
        <v/>
      </c>
      <c r="M97" t="str">
        <f>IF('39'!$D$24="","",'39'!$D$24)</f>
        <v/>
      </c>
      <c r="N97" t="str">
        <f>IF('39'!$E$2="","",'39'!$E$2)</f>
        <v/>
      </c>
    </row>
    <row r="98" spans="1:14" hidden="1" x14ac:dyDescent="0.3">
      <c r="A98" s="20" t="s">
        <v>273</v>
      </c>
      <c r="B98" s="21" t="s">
        <v>375</v>
      </c>
      <c r="C98" s="21"/>
      <c r="D98">
        <v>-2</v>
      </c>
      <c r="E98" s="4" t="str">
        <f>IF(B98='39'!$B$7,"TRUE","")</f>
        <v/>
      </c>
      <c r="F98" s="35">
        <v>0</v>
      </c>
      <c r="G98" s="35">
        <v>1</v>
      </c>
      <c r="H98" s="21" t="s">
        <v>16</v>
      </c>
      <c r="I98" s="21"/>
      <c r="J98" s="34">
        <v>39</v>
      </c>
      <c r="K98" s="34">
        <v>4</v>
      </c>
      <c r="L98" t="str">
        <f>IF('39'!$A$24="","",'39'!$A$24)</f>
        <v/>
      </c>
      <c r="M98" t="str">
        <f>IF('39'!$D$24="","",'39'!$D$24)</f>
        <v/>
      </c>
      <c r="N98" t="str">
        <f>IF('39'!$E$7="","",'39'!$E$7)</f>
        <v/>
      </c>
    </row>
    <row r="99" spans="1:14" hidden="1" x14ac:dyDescent="0.3">
      <c r="A99" s="20" t="s">
        <v>273</v>
      </c>
      <c r="B99" s="21" t="s">
        <v>1</v>
      </c>
      <c r="C99" s="21" t="s">
        <v>88</v>
      </c>
      <c r="E99" t="str">
        <f>IF(VLOOKUP(C99,'39'!$A$8:$B$15,2,FALSE)="Yes", "TRUE", "")</f>
        <v/>
      </c>
      <c r="F99" s="35">
        <v>0</v>
      </c>
      <c r="G99" s="35">
        <v>1</v>
      </c>
      <c r="H99" s="21" t="s">
        <v>16</v>
      </c>
      <c r="I99" s="21"/>
      <c r="J99" s="34">
        <v>39</v>
      </c>
      <c r="K99" s="34">
        <v>4</v>
      </c>
      <c r="L99" t="str">
        <f>IF('39'!$A$24="","",'39'!$A$24)</f>
        <v/>
      </c>
      <c r="M99" t="str">
        <f>IF('39'!$D$24="","",'39'!$D$24)</f>
        <v/>
      </c>
      <c r="N99" t="str">
        <f>IF('39'!$E$7="","",'39'!$E$7)</f>
        <v/>
      </c>
    </row>
    <row r="100" spans="1:14" hidden="1" x14ac:dyDescent="0.3">
      <c r="A100" s="20" t="s">
        <v>273</v>
      </c>
      <c r="B100" s="21" t="s">
        <v>1</v>
      </c>
      <c r="C100" s="21" t="s">
        <v>89</v>
      </c>
      <c r="E100" t="str">
        <f>IF(VLOOKUP(C100,'39'!$A$8:$B$15,2,FALSE)="Yes", "TRUE", "")</f>
        <v/>
      </c>
      <c r="F100" s="35">
        <v>0</v>
      </c>
      <c r="G100" s="35">
        <v>1</v>
      </c>
      <c r="H100" s="21" t="s">
        <v>16</v>
      </c>
      <c r="I100" s="21"/>
      <c r="J100" s="34">
        <v>39</v>
      </c>
      <c r="K100" s="34">
        <v>4</v>
      </c>
      <c r="L100" t="str">
        <f>IF('39'!$A$24="","",'39'!$A$24)</f>
        <v/>
      </c>
      <c r="M100" t="str">
        <f>IF('39'!$D$24="","",'39'!$D$24)</f>
        <v/>
      </c>
      <c r="N100" t="str">
        <f>IF('39'!$E$7="","",'39'!$E$7)</f>
        <v/>
      </c>
    </row>
    <row r="101" spans="1:14" hidden="1" x14ac:dyDescent="0.3">
      <c r="A101" s="20" t="s">
        <v>273</v>
      </c>
      <c r="B101" s="21" t="s">
        <v>1</v>
      </c>
      <c r="C101" s="21" t="s">
        <v>90</v>
      </c>
      <c r="E101" t="str">
        <f>IF(VLOOKUP(C101,'39'!$A$8:$B$15,2,FALSE)="Yes", "TRUE", "")</f>
        <v/>
      </c>
      <c r="F101" s="35">
        <v>0</v>
      </c>
      <c r="G101" s="35">
        <v>1</v>
      </c>
      <c r="H101" s="21" t="s">
        <v>16</v>
      </c>
      <c r="I101" s="21"/>
      <c r="J101" s="34">
        <v>39</v>
      </c>
      <c r="K101" s="34">
        <v>4</v>
      </c>
      <c r="L101" t="str">
        <f>IF('39'!$A$24="","",'39'!$A$24)</f>
        <v/>
      </c>
      <c r="M101" t="str">
        <f>IF('39'!$D$24="","",'39'!$D$24)</f>
        <v/>
      </c>
      <c r="N101" t="str">
        <f>IF('39'!$E$7="","",'39'!$E$7)</f>
        <v/>
      </c>
    </row>
    <row r="102" spans="1:14" hidden="1" x14ac:dyDescent="0.3">
      <c r="A102" s="20" t="s">
        <v>273</v>
      </c>
      <c r="B102" s="21" t="s">
        <v>1</v>
      </c>
      <c r="C102" s="21" t="s">
        <v>274</v>
      </c>
      <c r="E102" t="str">
        <f>IF(VLOOKUP(C102,'39'!$A$8:$B$15,2,FALSE)="Yes", "TRUE", "")</f>
        <v/>
      </c>
      <c r="F102" s="35">
        <v>0</v>
      </c>
      <c r="G102" s="35">
        <v>1</v>
      </c>
      <c r="H102" s="21" t="s">
        <v>16</v>
      </c>
      <c r="I102" s="21"/>
      <c r="J102" s="34">
        <v>39</v>
      </c>
      <c r="K102" s="34">
        <v>4</v>
      </c>
      <c r="L102" t="str">
        <f>IF('39'!$A$24="","",'39'!$A$24)</f>
        <v/>
      </c>
      <c r="M102" t="str">
        <f>IF('39'!$D$24="","",'39'!$D$24)</f>
        <v/>
      </c>
      <c r="N102" t="str">
        <f>IF('39'!$E$7="","",'39'!$E$7)</f>
        <v/>
      </c>
    </row>
    <row r="103" spans="1:14" hidden="1" x14ac:dyDescent="0.3">
      <c r="A103" s="20" t="s">
        <v>273</v>
      </c>
      <c r="B103" s="21" t="s">
        <v>1</v>
      </c>
      <c r="C103" s="21" t="s">
        <v>91</v>
      </c>
      <c r="E103" t="str">
        <f>IF(VLOOKUP(C103,'39'!$A$8:$B$15,2,FALSE)="Yes", "TRUE", "")</f>
        <v/>
      </c>
      <c r="F103" s="35">
        <v>0</v>
      </c>
      <c r="G103" s="35">
        <v>1</v>
      </c>
      <c r="H103" s="21" t="s">
        <v>16</v>
      </c>
      <c r="I103" s="21"/>
      <c r="J103" s="34">
        <v>39</v>
      </c>
      <c r="K103" s="34">
        <v>4</v>
      </c>
      <c r="L103" t="str">
        <f>IF('39'!$A$24="","",'39'!$A$24)</f>
        <v/>
      </c>
      <c r="M103" t="str">
        <f>IF('39'!$D$24="","",'39'!$D$24)</f>
        <v/>
      </c>
      <c r="N103" t="str">
        <f>IF('39'!$E$7="","",'39'!$E$7)</f>
        <v/>
      </c>
    </row>
    <row r="104" spans="1:14" hidden="1" x14ac:dyDescent="0.3">
      <c r="A104" s="20" t="s">
        <v>273</v>
      </c>
      <c r="B104" s="21" t="s">
        <v>1</v>
      </c>
      <c r="C104" s="21" t="s">
        <v>92</v>
      </c>
      <c r="E104" t="str">
        <f>IF(VLOOKUP(C104,'39'!$A$8:$B$15,2,FALSE)="Yes", "TRUE", "")</f>
        <v/>
      </c>
      <c r="F104" s="35">
        <v>0</v>
      </c>
      <c r="G104" s="35">
        <v>1</v>
      </c>
      <c r="H104" s="21" t="s">
        <v>16</v>
      </c>
      <c r="I104" s="21"/>
      <c r="J104" s="34">
        <v>39</v>
      </c>
      <c r="K104" s="34">
        <v>4</v>
      </c>
      <c r="L104" t="str">
        <f>IF('39'!$A$24="","",'39'!$A$24)</f>
        <v/>
      </c>
      <c r="M104" t="str">
        <f>IF('39'!$D$24="","",'39'!$D$24)</f>
        <v/>
      </c>
      <c r="N104" t="str">
        <f>IF('39'!$E$7="","",'39'!$E$7)</f>
        <v/>
      </c>
    </row>
    <row r="105" spans="1:14" hidden="1" x14ac:dyDescent="0.3">
      <c r="A105" s="20" t="s">
        <v>273</v>
      </c>
      <c r="B105" s="21" t="s">
        <v>1</v>
      </c>
      <c r="C105" s="21" t="s">
        <v>93</v>
      </c>
      <c r="E105" t="str">
        <f>IF(VLOOKUP(C105,'39'!$A$8:$B$15,2,FALSE)="Yes", "TRUE", "")</f>
        <v/>
      </c>
      <c r="F105" s="35">
        <v>0</v>
      </c>
      <c r="G105" s="35">
        <v>1</v>
      </c>
      <c r="H105" s="21" t="s">
        <v>16</v>
      </c>
      <c r="I105" s="21"/>
      <c r="J105" s="34">
        <v>39</v>
      </c>
      <c r="K105" s="34">
        <v>4</v>
      </c>
      <c r="L105" t="str">
        <f>IF('39'!$A$24="","",'39'!$A$24)</f>
        <v/>
      </c>
      <c r="M105" t="str">
        <f>IF('39'!$D$24="","",'39'!$D$24)</f>
        <v/>
      </c>
      <c r="N105" t="str">
        <f>IF('39'!$E$7="","",'39'!$E$7)</f>
        <v/>
      </c>
    </row>
    <row r="106" spans="1:14" hidden="1" x14ac:dyDescent="0.3">
      <c r="A106" s="20" t="s">
        <v>273</v>
      </c>
      <c r="B106" s="21" t="s">
        <v>1</v>
      </c>
      <c r="C106" s="21" t="s">
        <v>182</v>
      </c>
      <c r="E106" t="str">
        <f>IF(VLOOKUP(C106,'39'!$A$8:$B$15,2,FALSE)="Yes", "TRUE", "")</f>
        <v/>
      </c>
      <c r="F106" s="35">
        <v>0</v>
      </c>
      <c r="G106" s="35">
        <v>1</v>
      </c>
      <c r="H106" s="21" t="s">
        <v>16</v>
      </c>
      <c r="I106" s="21"/>
      <c r="J106" s="34">
        <v>39</v>
      </c>
      <c r="K106" s="34">
        <v>4</v>
      </c>
      <c r="L106" t="str">
        <f>IF('39'!$A$24="","",'39'!$A$24)</f>
        <v/>
      </c>
      <c r="M106" t="str">
        <f>IF('39'!$D$24="","",'39'!$D$24)</f>
        <v/>
      </c>
      <c r="N106" t="str">
        <f>IF('39'!$E$7="","",'39'!$E$7)</f>
        <v/>
      </c>
    </row>
    <row r="107" spans="1:14" ht="28.8" hidden="1" x14ac:dyDescent="0.3">
      <c r="A107" s="20" t="s">
        <v>275</v>
      </c>
      <c r="B107" s="22" t="s">
        <v>375</v>
      </c>
      <c r="C107" s="21"/>
      <c r="D107">
        <v>-2</v>
      </c>
      <c r="E107" s="4" t="str">
        <f>IF(B107='39'!$B$16,"TRUE","")</f>
        <v/>
      </c>
      <c r="F107" s="35">
        <v>0</v>
      </c>
      <c r="G107" s="35">
        <v>2</v>
      </c>
      <c r="H107" s="21" t="s">
        <v>16</v>
      </c>
      <c r="I107" s="21"/>
      <c r="J107" s="34">
        <v>39</v>
      </c>
      <c r="K107" s="34">
        <v>4</v>
      </c>
      <c r="L107" t="str">
        <f>IF('39'!$A$24="","",'39'!$A$24)</f>
        <v/>
      </c>
      <c r="M107" t="str">
        <f>IF('39'!$D$24="","",'39'!$D$24)</f>
        <v/>
      </c>
      <c r="N107" t="str">
        <f>IF('39'!$E$16="","",'39'!$E$16)</f>
        <v/>
      </c>
    </row>
    <row r="108" spans="1:14" hidden="1" x14ac:dyDescent="0.3">
      <c r="A108" s="20" t="s">
        <v>275</v>
      </c>
      <c r="B108" s="20" t="s">
        <v>1</v>
      </c>
      <c r="C108" s="21" t="s">
        <v>99</v>
      </c>
      <c r="E108" t="str">
        <f>IF(VLOOKUP(C108,'39'!$A$16:$B$21,2,FALSE)="Yes", "TRUE", "")</f>
        <v/>
      </c>
      <c r="F108" s="35">
        <v>0</v>
      </c>
      <c r="G108" s="35">
        <v>2</v>
      </c>
      <c r="H108" s="21" t="s">
        <v>16</v>
      </c>
      <c r="I108" s="21"/>
      <c r="J108" s="34">
        <v>39</v>
      </c>
      <c r="K108" s="34">
        <v>4</v>
      </c>
      <c r="L108" t="str">
        <f>IF('39'!$A$24="","",'39'!$A$24)</f>
        <v/>
      </c>
      <c r="M108" t="str">
        <f>IF('39'!$D$24="","",'39'!$D$24)</f>
        <v/>
      </c>
      <c r="N108" t="str">
        <f>IF('39'!$E$16="","",'39'!$E$16)</f>
        <v/>
      </c>
    </row>
    <row r="109" spans="1:14" hidden="1" x14ac:dyDescent="0.3">
      <c r="A109" s="20" t="s">
        <v>275</v>
      </c>
      <c r="B109" s="20" t="s">
        <v>1</v>
      </c>
      <c r="C109" s="21" t="s">
        <v>95</v>
      </c>
      <c r="E109" t="str">
        <f>IF(VLOOKUP(C109,'39'!$A$16:$B$21,2,FALSE)="Yes", "TRUE", "")</f>
        <v/>
      </c>
      <c r="F109" s="35">
        <v>0</v>
      </c>
      <c r="G109" s="35">
        <v>2</v>
      </c>
      <c r="H109" s="21" t="s">
        <v>16</v>
      </c>
      <c r="I109" s="21"/>
      <c r="J109" s="34">
        <v>39</v>
      </c>
      <c r="K109" s="34">
        <v>4</v>
      </c>
      <c r="L109" t="str">
        <f>IF('39'!$A$24="","",'39'!$A$24)</f>
        <v/>
      </c>
      <c r="M109" t="str">
        <f>IF('39'!$D$24="","",'39'!$D$24)</f>
        <v/>
      </c>
      <c r="N109" t="str">
        <f>IF('39'!$E$16="","",'39'!$E$16)</f>
        <v/>
      </c>
    </row>
    <row r="110" spans="1:14" hidden="1" x14ac:dyDescent="0.3">
      <c r="A110" s="20" t="s">
        <v>275</v>
      </c>
      <c r="B110" s="20" t="s">
        <v>1</v>
      </c>
      <c r="C110" s="21" t="s">
        <v>96</v>
      </c>
      <c r="E110" t="str">
        <f>IF(VLOOKUP(C110,'39'!$A$16:$B$21,2,FALSE)="Yes", "TRUE", "")</f>
        <v/>
      </c>
      <c r="F110" s="35">
        <v>0</v>
      </c>
      <c r="G110" s="35">
        <v>2</v>
      </c>
      <c r="H110" s="21" t="s">
        <v>16</v>
      </c>
      <c r="I110" s="21"/>
      <c r="J110" s="34">
        <v>39</v>
      </c>
      <c r="K110" s="34">
        <v>4</v>
      </c>
      <c r="L110" t="str">
        <f>IF('39'!$A$24="","",'39'!$A$24)</f>
        <v/>
      </c>
      <c r="M110" t="str">
        <f>IF('39'!$D$24="","",'39'!$D$24)</f>
        <v/>
      </c>
      <c r="N110" t="str">
        <f>IF('39'!$E$16="","",'39'!$E$16)</f>
        <v/>
      </c>
    </row>
    <row r="111" spans="1:14" hidden="1" x14ac:dyDescent="0.3">
      <c r="A111" s="20" t="s">
        <v>94</v>
      </c>
      <c r="B111" s="20" t="s">
        <v>1</v>
      </c>
      <c r="C111" s="21" t="s">
        <v>97</v>
      </c>
      <c r="E111" t="str">
        <f>IF(VLOOKUP(C111,'39'!$A$16:$B$21,2,FALSE)="Yes", "TRUE", "")</f>
        <v/>
      </c>
      <c r="F111" s="35">
        <v>0</v>
      </c>
      <c r="G111" s="35">
        <v>2</v>
      </c>
      <c r="H111" s="21" t="s">
        <v>16</v>
      </c>
      <c r="I111" s="21"/>
      <c r="J111" s="34">
        <v>39</v>
      </c>
      <c r="K111" s="34">
        <v>4</v>
      </c>
      <c r="L111" t="str">
        <f>IF('39'!$A$24="","",'39'!$A$24)</f>
        <v/>
      </c>
      <c r="M111" t="str">
        <f>IF('39'!$D$24="","",'39'!$D$24)</f>
        <v/>
      </c>
      <c r="N111" t="str">
        <f>IF('39'!$E$16="","",'39'!$E$16)</f>
        <v/>
      </c>
    </row>
    <row r="112" spans="1:14" hidden="1" x14ac:dyDescent="0.3">
      <c r="A112" s="20" t="s">
        <v>275</v>
      </c>
      <c r="B112" s="20" t="s">
        <v>1</v>
      </c>
      <c r="C112" s="21" t="s">
        <v>98</v>
      </c>
      <c r="E112" t="str">
        <f>IF(VLOOKUP(C112,'39'!$A$16:$B$21,2,FALSE)="Yes", "TRUE", "")</f>
        <v/>
      </c>
      <c r="F112" s="35">
        <v>0</v>
      </c>
      <c r="G112" s="35">
        <v>2</v>
      </c>
      <c r="H112" s="21" t="s">
        <v>16</v>
      </c>
      <c r="I112" s="21"/>
      <c r="J112" s="34">
        <v>39</v>
      </c>
      <c r="K112" s="34">
        <v>4</v>
      </c>
      <c r="L112" t="str">
        <f>IF('39'!$A$24="","",'39'!$A$24)</f>
        <v/>
      </c>
      <c r="M112" t="str">
        <f>IF('39'!$D$24="","",'39'!$D$24)</f>
        <v/>
      </c>
      <c r="N112" t="str">
        <f>IF('39'!$E$16="","",'39'!$E$16)</f>
        <v/>
      </c>
    </row>
    <row r="113" spans="1:14" ht="28.8" hidden="1" x14ac:dyDescent="0.3">
      <c r="A113" s="20" t="s">
        <v>276</v>
      </c>
      <c r="B113" s="22" t="s">
        <v>375</v>
      </c>
      <c r="C113" s="21"/>
      <c r="D113">
        <v>-2</v>
      </c>
      <c r="E113" s="4" t="str">
        <f>IF(B113='40'!$B$2,"TRUE","")</f>
        <v/>
      </c>
      <c r="F113" s="35">
        <v>0</v>
      </c>
      <c r="G113" s="35">
        <v>0</v>
      </c>
      <c r="H113" s="21" t="s">
        <v>16</v>
      </c>
      <c r="I113" s="21"/>
      <c r="J113" s="34">
        <v>40</v>
      </c>
      <c r="K113" s="34">
        <v>5</v>
      </c>
      <c r="L113" t="str">
        <f>IF('40'!$A$18="","",'40'!$A$18)</f>
        <v/>
      </c>
      <c r="M113" t="str">
        <f>IF('40'!$D$18="","",'40'!$D$18)</f>
        <v/>
      </c>
      <c r="N113" t="str">
        <f>IF('40'!$E$2="","",'40'!$E$2)</f>
        <v/>
      </c>
    </row>
    <row r="114" spans="1:14" hidden="1" x14ac:dyDescent="0.3">
      <c r="A114" s="20" t="s">
        <v>276</v>
      </c>
      <c r="B114" s="20" t="s">
        <v>1</v>
      </c>
      <c r="C114" s="23" t="s">
        <v>277</v>
      </c>
      <c r="E114" t="str">
        <f>IF(VLOOKUP(C114,'40'!$A$3:$B$8,2,FALSE)="Yes", "TRUE", "")</f>
        <v/>
      </c>
      <c r="F114" s="35">
        <v>0</v>
      </c>
      <c r="G114" s="35">
        <v>0</v>
      </c>
      <c r="H114" s="21" t="s">
        <v>16</v>
      </c>
      <c r="I114" s="21"/>
      <c r="J114" s="34">
        <v>40</v>
      </c>
      <c r="K114" s="34">
        <v>5</v>
      </c>
      <c r="L114" t="str">
        <f>IF('40'!$A$18="","",'40'!$A$18)</f>
        <v/>
      </c>
      <c r="M114" t="str">
        <f>IF('40'!$D$18="","",'40'!$D$18)</f>
        <v/>
      </c>
      <c r="N114" t="str">
        <f>IF('40'!$E$2="","",'40'!$E$2)</f>
        <v/>
      </c>
    </row>
    <row r="115" spans="1:14" hidden="1" x14ac:dyDescent="0.3">
      <c r="A115" s="20" t="s">
        <v>276</v>
      </c>
      <c r="B115" s="20" t="s">
        <v>1</v>
      </c>
      <c r="C115" s="23" t="s">
        <v>100</v>
      </c>
      <c r="E115" t="str">
        <f>IF(VLOOKUP(C115,'40'!$A$3:$B$8,2,FALSE)="Yes", "TRUE", "")</f>
        <v/>
      </c>
      <c r="F115" s="35">
        <v>0</v>
      </c>
      <c r="G115" s="35">
        <v>0</v>
      </c>
      <c r="H115" s="21" t="s">
        <v>16</v>
      </c>
      <c r="I115" s="21"/>
      <c r="J115" s="34">
        <v>40</v>
      </c>
      <c r="K115" s="34">
        <v>5</v>
      </c>
      <c r="L115" t="str">
        <f>IF('40'!$A$18="","",'40'!$A$18)</f>
        <v/>
      </c>
      <c r="M115" t="str">
        <f>IF('40'!$D$18="","",'40'!$D$18)</f>
        <v/>
      </c>
      <c r="N115" t="str">
        <f>IF('40'!$E$2="","",'40'!$E$2)</f>
        <v/>
      </c>
    </row>
    <row r="116" spans="1:14" hidden="1" x14ac:dyDescent="0.3">
      <c r="A116" s="20" t="s">
        <v>276</v>
      </c>
      <c r="B116" s="20" t="s">
        <v>1</v>
      </c>
      <c r="C116" s="23" t="s">
        <v>278</v>
      </c>
      <c r="E116" t="str">
        <f>IF(VLOOKUP(C116,'40'!$A$3:$B$8,2,FALSE)="Yes", "TRUE", "")</f>
        <v/>
      </c>
      <c r="F116" s="35">
        <v>0</v>
      </c>
      <c r="G116" s="35">
        <v>0</v>
      </c>
      <c r="H116" s="21" t="s">
        <v>16</v>
      </c>
      <c r="I116" s="21"/>
      <c r="J116" s="34">
        <v>40</v>
      </c>
      <c r="K116" s="34">
        <v>5</v>
      </c>
      <c r="L116" t="str">
        <f>IF('40'!$A$18="","",'40'!$A$18)</f>
        <v/>
      </c>
      <c r="M116" t="str">
        <f>IF('40'!$D$18="","",'40'!$D$18)</f>
        <v/>
      </c>
      <c r="N116" t="str">
        <f>IF('40'!$E$2="","",'40'!$E$2)</f>
        <v/>
      </c>
    </row>
    <row r="117" spans="1:14" hidden="1" x14ac:dyDescent="0.3">
      <c r="A117" s="20" t="s">
        <v>276</v>
      </c>
      <c r="B117" s="20" t="s">
        <v>1</v>
      </c>
      <c r="C117" s="23" t="s">
        <v>101</v>
      </c>
      <c r="E117" t="str">
        <f>IF(VLOOKUP(C117,'40'!$A$3:$B$8,2,FALSE)="Yes", "TRUE", "")</f>
        <v/>
      </c>
      <c r="F117" s="35">
        <v>0</v>
      </c>
      <c r="G117" s="35">
        <v>0</v>
      </c>
      <c r="H117" s="21" t="s">
        <v>16</v>
      </c>
      <c r="I117" s="21"/>
      <c r="J117" s="34">
        <v>40</v>
      </c>
      <c r="K117" s="34">
        <v>5</v>
      </c>
      <c r="L117" t="str">
        <f>IF('40'!$A$18="","",'40'!$A$18)</f>
        <v/>
      </c>
      <c r="M117" t="str">
        <f>IF('40'!$D$18="","",'40'!$D$18)</f>
        <v/>
      </c>
      <c r="N117" t="str">
        <f>IF('40'!$E$2="","",'40'!$E$2)</f>
        <v/>
      </c>
    </row>
    <row r="118" spans="1:14" hidden="1" x14ac:dyDescent="0.3">
      <c r="A118" s="20" t="s">
        <v>276</v>
      </c>
      <c r="B118" s="20" t="s">
        <v>1</v>
      </c>
      <c r="C118" s="23" t="s">
        <v>102</v>
      </c>
      <c r="E118" t="str">
        <f>IF(VLOOKUP(C118,'40'!$A$3:$B$8,2,FALSE)="Yes", "TRUE", "")</f>
        <v/>
      </c>
      <c r="F118" s="35">
        <v>0</v>
      </c>
      <c r="G118" s="35">
        <v>0</v>
      </c>
      <c r="H118" s="21" t="s">
        <v>16</v>
      </c>
      <c r="I118" s="21"/>
      <c r="J118" s="34">
        <v>40</v>
      </c>
      <c r="K118" s="34">
        <v>5</v>
      </c>
      <c r="L118" t="str">
        <f>IF('40'!$A$18="","",'40'!$A$18)</f>
        <v/>
      </c>
      <c r="M118" t="str">
        <f>IF('40'!$D$18="","",'40'!$D$18)</f>
        <v/>
      </c>
      <c r="N118" t="str">
        <f>IF('40'!$E$2="","",'40'!$E$2)</f>
        <v/>
      </c>
    </row>
    <row r="119" spans="1:14" hidden="1" x14ac:dyDescent="0.3">
      <c r="A119" s="20" t="s">
        <v>276</v>
      </c>
      <c r="B119" s="20" t="s">
        <v>1</v>
      </c>
      <c r="C119" s="23" t="s">
        <v>103</v>
      </c>
      <c r="E119" t="str">
        <f>IF(VLOOKUP(C119,'40'!$A$3:$B$8,2,FALSE)="Yes", "TRUE", "")</f>
        <v/>
      </c>
      <c r="F119" s="35">
        <v>0</v>
      </c>
      <c r="G119" s="35">
        <v>0</v>
      </c>
      <c r="H119" s="21" t="s">
        <v>16</v>
      </c>
      <c r="I119" s="21"/>
      <c r="J119" s="34">
        <v>40</v>
      </c>
      <c r="K119" s="34">
        <v>5</v>
      </c>
      <c r="L119" t="str">
        <f>IF('40'!$A$18="","",'40'!$A$18)</f>
        <v/>
      </c>
      <c r="M119" t="str">
        <f>IF('40'!$D$18="","",'40'!$D$18)</f>
        <v/>
      </c>
      <c r="N119" t="str">
        <f>IF('40'!$E$2="","",'40'!$E$2)</f>
        <v/>
      </c>
    </row>
    <row r="120" spans="1:14" ht="28.8" hidden="1" x14ac:dyDescent="0.3">
      <c r="A120" s="20" t="s">
        <v>279</v>
      </c>
      <c r="B120" s="22" t="s">
        <v>375</v>
      </c>
      <c r="C120" s="21"/>
      <c r="D120">
        <v>-2</v>
      </c>
      <c r="E120" s="4" t="str">
        <f>IF(B120='40'!$B$9,"TRUE","")</f>
        <v/>
      </c>
      <c r="F120" s="35">
        <v>0</v>
      </c>
      <c r="G120" s="35">
        <v>1</v>
      </c>
      <c r="H120" s="21" t="s">
        <v>16</v>
      </c>
      <c r="I120" s="21"/>
      <c r="J120" s="34">
        <v>40</v>
      </c>
      <c r="K120" s="34">
        <v>5</v>
      </c>
      <c r="L120" t="str">
        <f>IF('40'!$A$18="","",'40'!$A$18)</f>
        <v/>
      </c>
      <c r="M120" t="str">
        <f>IF('40'!$D$18="","",'40'!$D$18)</f>
        <v/>
      </c>
      <c r="N120" t="str">
        <f>IF('40'!$E$9="","",'40'!$E$9)</f>
        <v/>
      </c>
    </row>
    <row r="121" spans="1:14" hidden="1" x14ac:dyDescent="0.3">
      <c r="A121" s="20" t="s">
        <v>279</v>
      </c>
      <c r="B121" s="20" t="s">
        <v>1</v>
      </c>
      <c r="C121" s="23" t="s">
        <v>277</v>
      </c>
      <c r="E121" t="str">
        <f>IF(VLOOKUP(C121,'40'!$A$10:$B$15,2,FALSE)="Yes", "TRUE", "")</f>
        <v/>
      </c>
      <c r="F121" s="35">
        <v>0</v>
      </c>
      <c r="G121" s="35">
        <v>1</v>
      </c>
      <c r="H121" s="21" t="s">
        <v>16</v>
      </c>
      <c r="I121" s="21"/>
      <c r="J121" s="34">
        <v>40</v>
      </c>
      <c r="K121" s="34">
        <v>5</v>
      </c>
      <c r="L121" t="str">
        <f>IF('40'!$A$18="","",'40'!$A$18)</f>
        <v/>
      </c>
      <c r="M121" t="str">
        <f>IF('40'!$D$18="","",'40'!$D$18)</f>
        <v/>
      </c>
      <c r="N121" t="str">
        <f>IF('40'!$E$9="","",'40'!$E$9)</f>
        <v/>
      </c>
    </row>
    <row r="122" spans="1:14" hidden="1" x14ac:dyDescent="0.3">
      <c r="A122" s="20" t="s">
        <v>279</v>
      </c>
      <c r="B122" s="20" t="s">
        <v>1</v>
      </c>
      <c r="C122" s="23" t="s">
        <v>280</v>
      </c>
      <c r="E122" t="str">
        <f>IF(VLOOKUP(C122,'40'!$A$10:$B$15,2,FALSE)="Yes", "TRUE", "")</f>
        <v/>
      </c>
      <c r="F122" s="35">
        <v>0</v>
      </c>
      <c r="G122" s="35">
        <v>1</v>
      </c>
      <c r="H122" s="21" t="s">
        <v>16</v>
      </c>
      <c r="I122" s="21"/>
      <c r="J122" s="34">
        <v>40</v>
      </c>
      <c r="K122" s="34">
        <v>5</v>
      </c>
      <c r="L122" t="str">
        <f>IF('40'!$A$18="","",'40'!$A$18)</f>
        <v/>
      </c>
      <c r="M122" t="str">
        <f>IF('40'!$D$18="","",'40'!$D$18)</f>
        <v/>
      </c>
      <c r="N122" t="str">
        <f>IF('40'!$E$9="","",'40'!$E$9)</f>
        <v/>
      </c>
    </row>
    <row r="123" spans="1:14" hidden="1" x14ac:dyDescent="0.3">
      <c r="A123" s="20" t="s">
        <v>279</v>
      </c>
      <c r="B123" s="20" t="s">
        <v>1</v>
      </c>
      <c r="C123" s="23" t="s">
        <v>104</v>
      </c>
      <c r="E123" t="str">
        <f>IF(VLOOKUP(C123,'40'!$A$10:$B$15,2,FALSE)="Yes", "TRUE", "")</f>
        <v/>
      </c>
      <c r="F123" s="35">
        <v>0</v>
      </c>
      <c r="G123" s="35">
        <v>1</v>
      </c>
      <c r="H123" s="21" t="s">
        <v>16</v>
      </c>
      <c r="I123" s="21"/>
      <c r="J123" s="34">
        <v>40</v>
      </c>
      <c r="K123" s="34">
        <v>5</v>
      </c>
      <c r="L123" t="str">
        <f>IF('40'!$A$18="","",'40'!$A$18)</f>
        <v/>
      </c>
      <c r="M123" t="str">
        <f>IF('40'!$D$18="","",'40'!$D$18)</f>
        <v/>
      </c>
      <c r="N123" t="str">
        <f>IF('40'!$E$9="","",'40'!$E$9)</f>
        <v/>
      </c>
    </row>
    <row r="124" spans="1:14" hidden="1" x14ac:dyDescent="0.3">
      <c r="A124" s="20" t="s">
        <v>279</v>
      </c>
      <c r="B124" s="20" t="s">
        <v>1</v>
      </c>
      <c r="C124" s="23" t="s">
        <v>101</v>
      </c>
      <c r="E124" t="str">
        <f>IF(VLOOKUP(C124,'40'!$A$10:$B$15,2,FALSE)="Yes", "TRUE", "")</f>
        <v/>
      </c>
      <c r="F124" s="35">
        <v>0</v>
      </c>
      <c r="G124" s="35">
        <v>1</v>
      </c>
      <c r="H124" s="21" t="s">
        <v>16</v>
      </c>
      <c r="I124" s="21"/>
      <c r="J124" s="34">
        <v>40</v>
      </c>
      <c r="K124" s="34">
        <v>5</v>
      </c>
      <c r="L124" t="str">
        <f>IF('40'!$A$18="","",'40'!$A$18)</f>
        <v/>
      </c>
      <c r="M124" t="str">
        <f>IF('40'!$D$18="","",'40'!$D$18)</f>
        <v/>
      </c>
      <c r="N124" t="str">
        <f>IF('40'!$E$9="","",'40'!$E$9)</f>
        <v/>
      </c>
    </row>
    <row r="125" spans="1:14" hidden="1" x14ac:dyDescent="0.3">
      <c r="A125" s="20" t="s">
        <v>279</v>
      </c>
      <c r="B125" s="20" t="s">
        <v>1</v>
      </c>
      <c r="C125" s="23" t="s">
        <v>102</v>
      </c>
      <c r="E125" t="str">
        <f>IF(VLOOKUP(C125,'40'!$A$10:$B$15,2,FALSE)="Yes", "TRUE", "")</f>
        <v/>
      </c>
      <c r="F125" s="35">
        <v>0</v>
      </c>
      <c r="G125" s="35">
        <v>1</v>
      </c>
      <c r="H125" s="21" t="s">
        <v>16</v>
      </c>
      <c r="I125" s="21"/>
      <c r="J125" s="34">
        <v>40</v>
      </c>
      <c r="K125" s="34">
        <v>5</v>
      </c>
      <c r="L125" t="str">
        <f>IF('40'!$A$18="","",'40'!$A$18)</f>
        <v/>
      </c>
      <c r="M125" t="str">
        <f>IF('40'!$D$18="","",'40'!$D$18)</f>
        <v/>
      </c>
      <c r="N125" t="str">
        <f>IF('40'!$E$9="","",'40'!$E$9)</f>
        <v/>
      </c>
    </row>
    <row r="126" spans="1:14" hidden="1" x14ac:dyDescent="0.3">
      <c r="A126" s="20" t="s">
        <v>279</v>
      </c>
      <c r="B126" s="20" t="s">
        <v>1</v>
      </c>
      <c r="C126" s="23" t="s">
        <v>105</v>
      </c>
      <c r="E126" t="str">
        <f>IF(VLOOKUP(C126,'40'!$A$10:$B$15,2,FALSE)="Yes", "TRUE", "")</f>
        <v/>
      </c>
      <c r="F126" s="35">
        <v>0</v>
      </c>
      <c r="G126" s="35">
        <v>1</v>
      </c>
      <c r="H126" s="21" t="s">
        <v>16</v>
      </c>
      <c r="I126" s="21"/>
      <c r="J126" s="34">
        <v>40</v>
      </c>
      <c r="K126" s="34">
        <v>5</v>
      </c>
      <c r="L126" t="str">
        <f>IF('40'!$A$18="","",'40'!$A$18)</f>
        <v/>
      </c>
      <c r="M126" t="str">
        <f>IF('40'!$D$18="","",'40'!$D$18)</f>
        <v/>
      </c>
      <c r="N126" t="str">
        <f>IF('40'!$E$9="","",'40'!$E$9)</f>
        <v/>
      </c>
    </row>
    <row r="127" spans="1:14" hidden="1" x14ac:dyDescent="0.3">
      <c r="A127" s="20" t="s">
        <v>333</v>
      </c>
      <c r="B127" s="20" t="s">
        <v>375</v>
      </c>
      <c r="C127" s="20"/>
      <c r="D127">
        <v>-2</v>
      </c>
      <c r="E127" s="4" t="str">
        <f>IF(B127='41'!$B$2,"TRUE","")</f>
        <v/>
      </c>
      <c r="F127" s="35">
        <v>0</v>
      </c>
      <c r="G127" s="35">
        <v>0</v>
      </c>
      <c r="H127" s="21" t="s">
        <v>18</v>
      </c>
      <c r="I127" s="21"/>
      <c r="J127" s="34">
        <v>41</v>
      </c>
      <c r="K127" s="34">
        <v>6</v>
      </c>
      <c r="L127" t="str">
        <f>IF('41'!$A$20="","",'41'!$A$20)</f>
        <v/>
      </c>
      <c r="M127" t="str">
        <f>IF('41'!$D$20="","",'41'!$D$20)</f>
        <v/>
      </c>
      <c r="N127" t="str">
        <f>IF('41'!$E$2="","",'41'!$E$2)</f>
        <v/>
      </c>
    </row>
    <row r="128" spans="1:14" hidden="1" x14ac:dyDescent="0.3">
      <c r="A128" s="20" t="s">
        <v>333</v>
      </c>
      <c r="B128" s="20" t="s">
        <v>1</v>
      </c>
      <c r="C128" s="20" t="s">
        <v>329</v>
      </c>
      <c r="E128" s="4" t="str">
        <f>IF(C128='41'!$B$3,"TRUE","")</f>
        <v/>
      </c>
      <c r="F128" s="35">
        <v>0</v>
      </c>
      <c r="G128" s="35">
        <v>0</v>
      </c>
      <c r="H128" s="21" t="s">
        <v>18</v>
      </c>
      <c r="I128" s="21"/>
      <c r="J128" s="34">
        <v>41</v>
      </c>
      <c r="K128" s="34">
        <v>6</v>
      </c>
      <c r="L128" t="str">
        <f>IF('41'!$A$20="","",'41'!$A$20)</f>
        <v/>
      </c>
      <c r="M128" t="str">
        <f>IF('41'!$D$20="","",'41'!$D$20)</f>
        <v/>
      </c>
      <c r="N128" t="str">
        <f>IF('41'!$E$2="","",'41'!$E$2)</f>
        <v/>
      </c>
    </row>
    <row r="129" spans="1:14" hidden="1" x14ac:dyDescent="0.3">
      <c r="A129" s="20" t="s">
        <v>333</v>
      </c>
      <c r="B129" s="20" t="s">
        <v>1</v>
      </c>
      <c r="C129" s="20" t="s">
        <v>330</v>
      </c>
      <c r="E129" s="4" t="str">
        <f>IF(C129='41'!$B$3,"TRUE","")</f>
        <v/>
      </c>
      <c r="F129" s="35">
        <v>0</v>
      </c>
      <c r="G129" s="35">
        <v>0</v>
      </c>
      <c r="H129" s="21" t="s">
        <v>18</v>
      </c>
      <c r="I129" s="21"/>
      <c r="J129" s="34">
        <v>41</v>
      </c>
      <c r="K129" s="34">
        <v>6</v>
      </c>
      <c r="L129" t="str">
        <f>IF('41'!$A$20="","",'41'!$A$20)</f>
        <v/>
      </c>
      <c r="M129" t="str">
        <f>IF('41'!$D$20="","",'41'!$D$20)</f>
        <v/>
      </c>
      <c r="N129" t="str">
        <f>IF('41'!$E$2="","",'41'!$E$2)</f>
        <v/>
      </c>
    </row>
    <row r="130" spans="1:14" hidden="1" x14ac:dyDescent="0.3">
      <c r="A130" s="20" t="s">
        <v>333</v>
      </c>
      <c r="B130" s="20" t="s">
        <v>1</v>
      </c>
      <c r="C130" s="20" t="s">
        <v>331</v>
      </c>
      <c r="E130" s="4" t="str">
        <f>IF(C130='41'!$B$3,"TRUE","")</f>
        <v/>
      </c>
      <c r="F130" s="35">
        <v>0</v>
      </c>
      <c r="G130" s="35">
        <v>0</v>
      </c>
      <c r="H130" s="21" t="s">
        <v>18</v>
      </c>
      <c r="I130" s="21"/>
      <c r="J130" s="34">
        <v>41</v>
      </c>
      <c r="K130" s="34">
        <v>6</v>
      </c>
      <c r="L130" t="str">
        <f>IF('41'!$A$20="","",'41'!$A$20)</f>
        <v/>
      </c>
      <c r="M130" t="str">
        <f>IF('41'!$D$20="","",'41'!$D$20)</f>
        <v/>
      </c>
      <c r="N130" t="str">
        <f>IF('41'!$E$2="","",'41'!$E$2)</f>
        <v/>
      </c>
    </row>
    <row r="131" spans="1:14" hidden="1" x14ac:dyDescent="0.3">
      <c r="A131" s="20" t="s">
        <v>333</v>
      </c>
      <c r="B131" s="20" t="s">
        <v>1</v>
      </c>
      <c r="C131" s="20" t="s">
        <v>332</v>
      </c>
      <c r="E131" s="4" t="str">
        <f>IF(C131='41'!$B$3,"TRUE","")</f>
        <v/>
      </c>
      <c r="F131" s="35">
        <v>0</v>
      </c>
      <c r="G131" s="35">
        <v>0</v>
      </c>
      <c r="H131" s="21" t="s">
        <v>18</v>
      </c>
      <c r="I131" s="21"/>
      <c r="J131" s="34">
        <v>41</v>
      </c>
      <c r="K131" s="34">
        <v>6</v>
      </c>
      <c r="L131" t="str">
        <f>IF('41'!$A$20="","",'41'!$A$20)</f>
        <v/>
      </c>
      <c r="M131" t="str">
        <f>IF('41'!$D$20="","",'41'!$D$20)</f>
        <v/>
      </c>
      <c r="N131" t="str">
        <f>IF('41'!$E$2="","",'41'!$E$2)</f>
        <v/>
      </c>
    </row>
    <row r="132" spans="1:14" hidden="1" x14ac:dyDescent="0.3">
      <c r="A132" s="20" t="s">
        <v>376</v>
      </c>
      <c r="B132" s="20" t="s">
        <v>375</v>
      </c>
      <c r="C132" s="20"/>
      <c r="D132">
        <v>-2</v>
      </c>
      <c r="E132" s="4" t="str">
        <f>IF(B132='41'!$B$4,"TRUE","")</f>
        <v/>
      </c>
      <c r="F132" s="35">
        <v>0</v>
      </c>
      <c r="G132" s="35">
        <v>1</v>
      </c>
      <c r="H132" s="21" t="s">
        <v>18</v>
      </c>
      <c r="I132" s="21"/>
      <c r="J132" s="34">
        <v>41</v>
      </c>
      <c r="K132" s="34">
        <v>6</v>
      </c>
      <c r="L132" t="str">
        <f>IF('41'!$A$20="","",'41'!$A$20)</f>
        <v/>
      </c>
      <c r="M132" t="str">
        <f>IF('41'!$D$20="","",'41'!$D$20)</f>
        <v/>
      </c>
      <c r="N132" t="str">
        <f>IF('41'!$E$4="","",'41'!$E$4)</f>
        <v/>
      </c>
    </row>
    <row r="133" spans="1:14" hidden="1" x14ac:dyDescent="0.3">
      <c r="A133" s="20" t="s">
        <v>376</v>
      </c>
      <c r="B133" s="20" t="s">
        <v>1</v>
      </c>
      <c r="C133" t="s">
        <v>377</v>
      </c>
      <c r="E133" s="4" t="str">
        <f>IF(C133='41'!$B$5,"TRUE","")</f>
        <v/>
      </c>
      <c r="F133" s="35">
        <v>0</v>
      </c>
      <c r="G133" s="35">
        <v>1</v>
      </c>
      <c r="H133" s="21" t="s">
        <v>18</v>
      </c>
      <c r="I133" s="21"/>
      <c r="J133" s="34">
        <v>41</v>
      </c>
      <c r="K133" s="34">
        <v>6</v>
      </c>
      <c r="L133" t="str">
        <f>IF('41'!$A$20="","",'41'!$A$20)</f>
        <v/>
      </c>
      <c r="M133" t="str">
        <f>IF('41'!$D$20="","",'41'!$D$20)</f>
        <v/>
      </c>
      <c r="N133" t="str">
        <f>IF('41'!$E$4="","",'41'!$E$4)</f>
        <v/>
      </c>
    </row>
    <row r="134" spans="1:14" hidden="1" x14ac:dyDescent="0.3">
      <c r="A134" s="20" t="s">
        <v>376</v>
      </c>
      <c r="B134" s="20" t="s">
        <v>1</v>
      </c>
      <c r="C134" t="s">
        <v>378</v>
      </c>
      <c r="E134" s="4" t="str">
        <f>IF(C134='41'!$B$5,"TRUE","")</f>
        <v/>
      </c>
      <c r="F134" s="35">
        <v>0</v>
      </c>
      <c r="G134" s="35">
        <v>1</v>
      </c>
      <c r="H134" s="21" t="s">
        <v>18</v>
      </c>
      <c r="I134" s="21"/>
      <c r="J134" s="34">
        <v>41</v>
      </c>
      <c r="K134" s="34">
        <v>6</v>
      </c>
      <c r="L134" t="str">
        <f>IF('41'!$A$20="","",'41'!$A$20)</f>
        <v/>
      </c>
      <c r="M134" t="str">
        <f>IF('41'!$D$20="","",'41'!$D$20)</f>
        <v/>
      </c>
      <c r="N134" t="str">
        <f>IF('41'!$E$4="","",'41'!$E$4)</f>
        <v/>
      </c>
    </row>
    <row r="135" spans="1:14" hidden="1" x14ac:dyDescent="0.3">
      <c r="A135" s="20" t="s">
        <v>376</v>
      </c>
      <c r="B135" s="20" t="s">
        <v>1</v>
      </c>
      <c r="C135" t="s">
        <v>379</v>
      </c>
      <c r="E135" s="4" t="str">
        <f>IF(C135='41'!$B$5,"TRUE","")</f>
        <v/>
      </c>
      <c r="F135" s="35">
        <v>0</v>
      </c>
      <c r="G135" s="35">
        <v>1</v>
      </c>
      <c r="H135" s="21" t="s">
        <v>18</v>
      </c>
      <c r="I135" s="21"/>
      <c r="J135" s="34">
        <v>41</v>
      </c>
      <c r="K135" s="34">
        <v>6</v>
      </c>
      <c r="L135" t="str">
        <f>IF('41'!$A$20="","",'41'!$A$20)</f>
        <v/>
      </c>
      <c r="M135" t="str">
        <f>IF('41'!$D$20="","",'41'!$D$20)</f>
        <v/>
      </c>
      <c r="N135" t="str">
        <f>IF('41'!$E$4="","",'41'!$E$4)</f>
        <v/>
      </c>
    </row>
    <row r="136" spans="1:14" hidden="1" x14ac:dyDescent="0.3">
      <c r="A136" s="20" t="s">
        <v>376</v>
      </c>
      <c r="B136" s="20" t="s">
        <v>1</v>
      </c>
      <c r="C136" t="s">
        <v>380</v>
      </c>
      <c r="E136" s="4" t="str">
        <f>IF(C136='41'!$B$5,"TRUE","")</f>
        <v/>
      </c>
      <c r="F136" s="35">
        <v>0</v>
      </c>
      <c r="G136" s="35">
        <v>1</v>
      </c>
      <c r="H136" s="21" t="s">
        <v>18</v>
      </c>
      <c r="I136" s="21"/>
      <c r="J136" s="34">
        <v>41</v>
      </c>
      <c r="K136" s="34">
        <v>6</v>
      </c>
      <c r="L136" t="str">
        <f>IF('41'!$A$20="","",'41'!$A$20)</f>
        <v/>
      </c>
      <c r="M136" t="str">
        <f>IF('41'!$D$20="","",'41'!$D$20)</f>
        <v/>
      </c>
      <c r="N136" t="str">
        <f>IF('41'!$E$4="","",'41'!$E$4)</f>
        <v/>
      </c>
    </row>
    <row r="137" spans="1:14" hidden="1" x14ac:dyDescent="0.3">
      <c r="A137" s="20" t="s">
        <v>334</v>
      </c>
      <c r="B137" s="21" t="s">
        <v>375</v>
      </c>
      <c r="C137" s="21"/>
      <c r="D137">
        <v>-2</v>
      </c>
      <c r="E137" s="4" t="str">
        <f>IF(B137='41'!$B$6,"TRUE","")</f>
        <v/>
      </c>
      <c r="F137" s="35">
        <v>0</v>
      </c>
      <c r="G137" s="35">
        <v>2</v>
      </c>
      <c r="H137" s="21" t="s">
        <v>16</v>
      </c>
      <c r="I137" s="21"/>
      <c r="J137" s="34">
        <v>41</v>
      </c>
      <c r="K137" s="34">
        <v>6</v>
      </c>
      <c r="L137" t="str">
        <f>IF('41'!$A$20="","",'41'!$A$20)</f>
        <v/>
      </c>
      <c r="M137" t="str">
        <f>IF('41'!$D$20="","",'41'!$D$20)</f>
        <v/>
      </c>
      <c r="N137" t="str">
        <f>IF('41'!$E$6="","",'41'!$E$6)</f>
        <v/>
      </c>
    </row>
    <row r="138" spans="1:14" hidden="1" x14ac:dyDescent="0.3">
      <c r="A138" s="20" t="s">
        <v>334</v>
      </c>
      <c r="B138" s="21" t="s">
        <v>1</v>
      </c>
      <c r="C138" s="21" t="s">
        <v>335</v>
      </c>
      <c r="E138" t="str">
        <f>IF(VLOOKUP(C138,'41'!$A$7:$B$12,2,FALSE)="Yes", "TRUE", "")</f>
        <v/>
      </c>
      <c r="F138" s="35">
        <v>0</v>
      </c>
      <c r="G138" s="35">
        <v>2</v>
      </c>
      <c r="H138" s="21" t="s">
        <v>16</v>
      </c>
      <c r="I138" s="21"/>
      <c r="J138" s="34">
        <v>41</v>
      </c>
      <c r="K138" s="34">
        <v>6</v>
      </c>
      <c r="L138" t="str">
        <f>IF('41'!$A$20="","",'41'!$A$20)</f>
        <v/>
      </c>
      <c r="M138" t="str">
        <f>IF('41'!$D$20="","",'41'!$D$20)</f>
        <v/>
      </c>
      <c r="N138" t="str">
        <f>IF('41'!$E$6="","",'41'!$E$6)</f>
        <v/>
      </c>
    </row>
    <row r="139" spans="1:14" hidden="1" x14ac:dyDescent="0.3">
      <c r="A139" s="20" t="s">
        <v>334</v>
      </c>
      <c r="B139" s="21" t="s">
        <v>1</v>
      </c>
      <c r="C139" s="21" t="s">
        <v>106</v>
      </c>
      <c r="E139" t="str">
        <f>IF(VLOOKUP(C139,'41'!$A$7:$B$12,2,FALSE)="Yes", "TRUE", "")</f>
        <v/>
      </c>
      <c r="F139" s="35">
        <v>0</v>
      </c>
      <c r="G139" s="35">
        <v>2</v>
      </c>
      <c r="H139" s="21" t="s">
        <v>16</v>
      </c>
      <c r="I139" s="21"/>
      <c r="J139" s="34">
        <v>41</v>
      </c>
      <c r="K139" s="34">
        <v>6</v>
      </c>
      <c r="L139" t="str">
        <f>IF('41'!$A$20="","",'41'!$A$20)</f>
        <v/>
      </c>
      <c r="M139" t="str">
        <f>IF('41'!$D$20="","",'41'!$D$20)</f>
        <v/>
      </c>
      <c r="N139" t="str">
        <f>IF('41'!$E$6="","",'41'!$E$6)</f>
        <v/>
      </c>
    </row>
    <row r="140" spans="1:14" hidden="1" x14ac:dyDescent="0.3">
      <c r="A140" s="20" t="s">
        <v>334</v>
      </c>
      <c r="B140" s="21" t="s">
        <v>1</v>
      </c>
      <c r="C140" s="21" t="s">
        <v>107</v>
      </c>
      <c r="E140" t="str">
        <f>IF(VLOOKUP(C140,'41'!$A$7:$B$12,2,FALSE)="Yes", "TRUE", "")</f>
        <v/>
      </c>
      <c r="F140" s="35">
        <v>0</v>
      </c>
      <c r="G140" s="35">
        <v>2</v>
      </c>
      <c r="H140" s="21" t="s">
        <v>16</v>
      </c>
      <c r="I140" s="21"/>
      <c r="J140" s="34">
        <v>41</v>
      </c>
      <c r="K140" s="34">
        <v>6</v>
      </c>
      <c r="L140" t="str">
        <f>IF('41'!$A$20="","",'41'!$A$20)</f>
        <v/>
      </c>
      <c r="M140" t="str">
        <f>IF('41'!$D$20="","",'41'!$D$20)</f>
        <v/>
      </c>
      <c r="N140" t="str">
        <f>IF('41'!$E$6="","",'41'!$E$6)</f>
        <v/>
      </c>
    </row>
    <row r="141" spans="1:14" hidden="1" x14ac:dyDescent="0.3">
      <c r="A141" s="20" t="s">
        <v>334</v>
      </c>
      <c r="B141" s="21" t="s">
        <v>1</v>
      </c>
      <c r="C141" s="21" t="s">
        <v>108</v>
      </c>
      <c r="E141" t="str">
        <f>IF(VLOOKUP(C141,'41'!$A$7:$B$12,2,FALSE)="Yes", "TRUE", "")</f>
        <v/>
      </c>
      <c r="F141" s="35">
        <v>0</v>
      </c>
      <c r="G141" s="35">
        <v>2</v>
      </c>
      <c r="H141" s="21" t="s">
        <v>16</v>
      </c>
      <c r="I141" s="21"/>
      <c r="J141" s="34">
        <v>41</v>
      </c>
      <c r="K141" s="34">
        <v>6</v>
      </c>
      <c r="L141" t="str">
        <f>IF('41'!$A$20="","",'41'!$A$20)</f>
        <v/>
      </c>
      <c r="M141" t="str">
        <f>IF('41'!$D$20="","",'41'!$D$20)</f>
        <v/>
      </c>
      <c r="N141" t="str">
        <f>IF('41'!$E$6="","",'41'!$E$6)</f>
        <v/>
      </c>
    </row>
    <row r="142" spans="1:14" hidden="1" x14ac:dyDescent="0.3">
      <c r="A142" s="20" t="s">
        <v>334</v>
      </c>
      <c r="B142" s="21" t="s">
        <v>1</v>
      </c>
      <c r="C142" s="21" t="s">
        <v>109</v>
      </c>
      <c r="E142" t="str">
        <f>IF(VLOOKUP(C142,'41'!$A$7:$B$12,2,FALSE)="Yes", "TRUE", "")</f>
        <v/>
      </c>
      <c r="F142" s="35">
        <v>0</v>
      </c>
      <c r="G142" s="35">
        <v>2</v>
      </c>
      <c r="H142" s="21" t="s">
        <v>16</v>
      </c>
      <c r="I142" s="21"/>
      <c r="J142" s="34">
        <v>41</v>
      </c>
      <c r="K142" s="34">
        <v>6</v>
      </c>
      <c r="L142" t="str">
        <f>IF('41'!$A$20="","",'41'!$A$20)</f>
        <v/>
      </c>
      <c r="M142" t="str">
        <f>IF('41'!$D$20="","",'41'!$D$20)</f>
        <v/>
      </c>
      <c r="N142" t="str">
        <f>IF('41'!$E$6="","",'41'!$E$6)</f>
        <v/>
      </c>
    </row>
    <row r="143" spans="1:14" hidden="1" x14ac:dyDescent="0.3">
      <c r="A143" s="20" t="s">
        <v>334</v>
      </c>
      <c r="B143" s="21" t="s">
        <v>1</v>
      </c>
      <c r="C143" s="21" t="s">
        <v>110</v>
      </c>
      <c r="E143" t="str">
        <f>IF(VLOOKUP(C143,'41'!$A$7:$B$12,2,FALSE)="Yes", "TRUE", "")</f>
        <v/>
      </c>
      <c r="F143" s="35">
        <v>0</v>
      </c>
      <c r="G143" s="35">
        <v>2</v>
      </c>
      <c r="H143" s="21" t="s">
        <v>16</v>
      </c>
      <c r="I143" s="21"/>
      <c r="J143" s="34">
        <v>41</v>
      </c>
      <c r="K143" s="34">
        <v>6</v>
      </c>
      <c r="L143" t="str">
        <f>IF('41'!$A$20="","",'41'!$A$20)</f>
        <v/>
      </c>
      <c r="M143" t="str">
        <f>IF('41'!$D$20="","",'41'!$D$20)</f>
        <v/>
      </c>
      <c r="N143" t="str">
        <f>IF('41'!$E$6="","",'41'!$E$6)</f>
        <v/>
      </c>
    </row>
    <row r="144" spans="1:14" hidden="1" x14ac:dyDescent="0.3">
      <c r="A144" s="20" t="s">
        <v>336</v>
      </c>
      <c r="B144" s="21" t="s">
        <v>375</v>
      </c>
      <c r="C144" s="21"/>
      <c r="D144">
        <v>-2</v>
      </c>
      <c r="E144" s="4" t="str">
        <f>IF(B144='41'!$B$13,"TRUE","")</f>
        <v/>
      </c>
      <c r="F144" s="35">
        <v>0</v>
      </c>
      <c r="G144" s="35">
        <v>3</v>
      </c>
      <c r="H144" s="21" t="s">
        <v>16</v>
      </c>
      <c r="I144" s="21"/>
      <c r="J144" s="34">
        <v>41</v>
      </c>
      <c r="K144" s="34">
        <v>6</v>
      </c>
      <c r="L144" t="str">
        <f>IF('41'!$A$20="","",'41'!$A$20)</f>
        <v/>
      </c>
      <c r="M144" t="str">
        <f>IF('41'!$D$20="","",'41'!$D$20)</f>
        <v/>
      </c>
      <c r="N144" t="str">
        <f>IF('41'!$E$13="","",'41'!$E$13)</f>
        <v/>
      </c>
    </row>
    <row r="145" spans="1:14" hidden="1" x14ac:dyDescent="0.3">
      <c r="A145" s="20" t="s">
        <v>336</v>
      </c>
      <c r="B145" s="21" t="s">
        <v>1</v>
      </c>
      <c r="C145" s="24" t="s">
        <v>277</v>
      </c>
      <c r="E145" t="str">
        <f>IF(VLOOKUP(C145,'41'!$A$14:$B$17,2,FALSE)="Yes", "TRUE", "")</f>
        <v/>
      </c>
      <c r="F145" s="35">
        <v>0</v>
      </c>
      <c r="G145" s="35">
        <v>3</v>
      </c>
      <c r="H145" s="21" t="s">
        <v>16</v>
      </c>
      <c r="I145" s="21"/>
      <c r="J145" s="34">
        <v>41</v>
      </c>
      <c r="K145" s="34">
        <v>6</v>
      </c>
      <c r="L145" t="str">
        <f>IF('41'!$A$20="","",'41'!$A$20)</f>
        <v/>
      </c>
      <c r="M145" t="str">
        <f>IF('41'!$D$20="","",'41'!$D$20)</f>
        <v/>
      </c>
      <c r="N145" t="str">
        <f>IF('41'!$E$13="","",'41'!$E$13)</f>
        <v/>
      </c>
    </row>
    <row r="146" spans="1:14" hidden="1" x14ac:dyDescent="0.3">
      <c r="A146" s="20" t="s">
        <v>336</v>
      </c>
      <c r="B146" s="21" t="s">
        <v>1</v>
      </c>
      <c r="C146" s="24" t="s">
        <v>111</v>
      </c>
      <c r="E146" t="str">
        <f>IF(VLOOKUP(C146,'41'!$A$14:$B$17,2,FALSE)="Yes", "TRUE", "")</f>
        <v/>
      </c>
      <c r="F146" s="35">
        <v>0</v>
      </c>
      <c r="G146" s="35">
        <v>3</v>
      </c>
      <c r="H146" s="21" t="s">
        <v>16</v>
      </c>
      <c r="I146" s="21"/>
      <c r="J146" s="34">
        <v>41</v>
      </c>
      <c r="K146" s="34">
        <v>6</v>
      </c>
      <c r="L146" t="str">
        <f>IF('41'!$A$20="","",'41'!$A$20)</f>
        <v/>
      </c>
      <c r="M146" t="str">
        <f>IF('41'!$D$20="","",'41'!$D$20)</f>
        <v/>
      </c>
      <c r="N146" t="str">
        <f>IF('41'!$E$13="","",'41'!$E$13)</f>
        <v/>
      </c>
    </row>
    <row r="147" spans="1:14" hidden="1" x14ac:dyDescent="0.3">
      <c r="A147" s="20" t="s">
        <v>336</v>
      </c>
      <c r="B147" s="21" t="s">
        <v>1</v>
      </c>
      <c r="C147" s="24" t="s">
        <v>112</v>
      </c>
      <c r="E147" t="str">
        <f>IF(VLOOKUP(C147,'41'!$A$14:$B$17,2,FALSE)="Yes", "TRUE", "")</f>
        <v/>
      </c>
      <c r="F147" s="35">
        <v>0</v>
      </c>
      <c r="G147" s="35">
        <v>3</v>
      </c>
      <c r="H147" s="21" t="s">
        <v>16</v>
      </c>
      <c r="I147" s="21"/>
      <c r="J147" s="34">
        <v>41</v>
      </c>
      <c r="K147" s="34">
        <v>6</v>
      </c>
      <c r="L147" t="str">
        <f>IF('41'!$A$20="","",'41'!$A$20)</f>
        <v/>
      </c>
      <c r="M147" t="str">
        <f>IF('41'!$D$20="","",'41'!$D$20)</f>
        <v/>
      </c>
      <c r="N147" t="str">
        <f>IF('41'!$E$13="","",'41'!$E$13)</f>
        <v/>
      </c>
    </row>
    <row r="148" spans="1:14" hidden="1" x14ac:dyDescent="0.3">
      <c r="A148" s="20" t="s">
        <v>281</v>
      </c>
      <c r="B148" s="20" t="s">
        <v>375</v>
      </c>
      <c r="C148" s="21" t="s">
        <v>113</v>
      </c>
      <c r="D148">
        <v>-2</v>
      </c>
      <c r="E148" s="4" t="str">
        <f>IF(B148='42'!$C$2,"TRUE","")</f>
        <v/>
      </c>
      <c r="F148" s="35">
        <v>0</v>
      </c>
      <c r="G148" s="35">
        <v>0</v>
      </c>
      <c r="H148" s="21" t="s">
        <v>16</v>
      </c>
      <c r="I148" s="21"/>
      <c r="J148" s="34">
        <v>42</v>
      </c>
      <c r="K148" s="34">
        <v>7</v>
      </c>
      <c r="L148" t="str">
        <f>IF('42'!$A$21="","",'42'!$A$21)</f>
        <v/>
      </c>
      <c r="M148" t="str">
        <f>IF('42'!$E$21="","",'42'!$E$21)</f>
        <v/>
      </c>
      <c r="N148" t="str">
        <f>IF('42'!$F$2="","",'42'!$F$2)</f>
        <v/>
      </c>
    </row>
    <row r="149" spans="1:14" hidden="1" x14ac:dyDescent="0.3">
      <c r="A149" s="20" t="s">
        <v>281</v>
      </c>
      <c r="B149" s="20" t="s">
        <v>1</v>
      </c>
      <c r="C149" s="21" t="s">
        <v>282</v>
      </c>
      <c r="E149" t="str">
        <f>IF(VLOOKUP(C149,'42'!$B$3:$C$6,2,FALSE)="Yes", "TRUE", "")</f>
        <v/>
      </c>
      <c r="F149" s="35">
        <v>0</v>
      </c>
      <c r="G149" s="35">
        <v>0</v>
      </c>
      <c r="H149" s="21" t="s">
        <v>16</v>
      </c>
      <c r="I149" s="21"/>
      <c r="J149" s="34">
        <v>42</v>
      </c>
      <c r="K149" s="34">
        <v>7</v>
      </c>
      <c r="L149" t="str">
        <f>IF('42'!$A$21="","",'42'!$A$21)</f>
        <v/>
      </c>
      <c r="M149" t="str">
        <f>IF('42'!$E$21="","",'42'!$E$21)</f>
        <v/>
      </c>
      <c r="N149" t="str">
        <f>IF('42'!$F$2="","",'42'!$F$2)</f>
        <v/>
      </c>
    </row>
    <row r="150" spans="1:14" hidden="1" x14ac:dyDescent="0.3">
      <c r="A150" s="20" t="s">
        <v>281</v>
      </c>
      <c r="B150" s="20" t="s">
        <v>1</v>
      </c>
      <c r="C150" s="21" t="s">
        <v>283</v>
      </c>
      <c r="E150" t="str">
        <f>IF(VLOOKUP(C150,'42'!$B$3:$C$6,2,FALSE)="Yes", "TRUE", "")</f>
        <v/>
      </c>
      <c r="F150" s="35">
        <v>0</v>
      </c>
      <c r="G150" s="35">
        <v>0</v>
      </c>
      <c r="H150" s="21" t="s">
        <v>16</v>
      </c>
      <c r="I150" s="21"/>
      <c r="J150" s="34">
        <v>42</v>
      </c>
      <c r="K150" s="34">
        <v>7</v>
      </c>
      <c r="L150" t="str">
        <f>IF('42'!$A$21="","",'42'!$A$21)</f>
        <v/>
      </c>
      <c r="M150" t="str">
        <f>IF('42'!$E$21="","",'42'!$E$21)</f>
        <v/>
      </c>
      <c r="N150" t="str">
        <f>IF('42'!$F$2="","",'42'!$F$2)</f>
        <v/>
      </c>
    </row>
    <row r="151" spans="1:14" hidden="1" x14ac:dyDescent="0.3">
      <c r="A151" s="20" t="s">
        <v>281</v>
      </c>
      <c r="B151" s="20" t="s">
        <v>1</v>
      </c>
      <c r="C151" s="21" t="s">
        <v>284</v>
      </c>
      <c r="E151" t="str">
        <f>IF(VLOOKUP(C151,'42'!$B$3:$C$6,2,FALSE)="Yes", "TRUE", "")</f>
        <v/>
      </c>
      <c r="F151" s="35">
        <v>0</v>
      </c>
      <c r="G151" s="35">
        <v>0</v>
      </c>
      <c r="H151" s="21" t="s">
        <v>16</v>
      </c>
      <c r="I151" s="21"/>
      <c r="J151" s="34">
        <v>42</v>
      </c>
      <c r="K151" s="34">
        <v>7</v>
      </c>
      <c r="L151" t="str">
        <f>IF('42'!$A$21="","",'42'!$A$21)</f>
        <v/>
      </c>
      <c r="M151" t="str">
        <f>IF('42'!$E$21="","",'42'!$E$21)</f>
        <v/>
      </c>
      <c r="N151" t="str">
        <f>IF('42'!$F$2="","",'42'!$F$2)</f>
        <v/>
      </c>
    </row>
    <row r="152" spans="1:14" hidden="1" x14ac:dyDescent="0.3">
      <c r="A152" s="20" t="s">
        <v>281</v>
      </c>
      <c r="B152" s="20" t="s">
        <v>1</v>
      </c>
      <c r="C152" s="21" t="s">
        <v>114</v>
      </c>
      <c r="E152" t="str">
        <f>IF(VLOOKUP(C152,'42'!$B$3:$C$6,2,FALSE)="Yes", "TRUE", "")</f>
        <v/>
      </c>
      <c r="F152" s="35">
        <v>0</v>
      </c>
      <c r="G152" s="35">
        <v>0</v>
      </c>
      <c r="H152" s="21" t="s">
        <v>16</v>
      </c>
      <c r="I152" s="21"/>
      <c r="J152" s="34">
        <v>42</v>
      </c>
      <c r="K152" s="34">
        <v>7</v>
      </c>
      <c r="L152" t="str">
        <f>IF('42'!$A$21="","",'42'!$A$21)</f>
        <v/>
      </c>
      <c r="M152" t="str">
        <f>IF('42'!$E$21="","",'42'!$E$21)</f>
        <v/>
      </c>
      <c r="N152" t="str">
        <f>IF('42'!$F$2="","",'42'!$F$2)</f>
        <v/>
      </c>
    </row>
    <row r="153" spans="1:14" hidden="1" x14ac:dyDescent="0.3">
      <c r="A153" s="20" t="s">
        <v>285</v>
      </c>
      <c r="B153" s="20" t="s">
        <v>375</v>
      </c>
      <c r="C153" s="21"/>
      <c r="D153">
        <v>-2</v>
      </c>
      <c r="E153" s="4" t="str">
        <f>IF(B153='42'!$C$7,"TRUE","")</f>
        <v/>
      </c>
      <c r="F153" s="35">
        <v>0</v>
      </c>
      <c r="G153" s="35">
        <v>1</v>
      </c>
      <c r="H153" s="21" t="s">
        <v>16</v>
      </c>
      <c r="I153" s="21"/>
      <c r="J153" s="34">
        <v>42</v>
      </c>
      <c r="K153" s="34">
        <v>7</v>
      </c>
      <c r="L153" t="str">
        <f>IF('42'!$A$21="","",'42'!$A$21)</f>
        <v/>
      </c>
      <c r="M153" t="str">
        <f>IF('42'!$E$21="","",'42'!$E$21)</f>
        <v/>
      </c>
      <c r="N153" t="str">
        <f>IF('42'!$F$7="","",'42'!$F$7)</f>
        <v/>
      </c>
    </row>
    <row r="154" spans="1:14" hidden="1" x14ac:dyDescent="0.3">
      <c r="A154" s="20" t="s">
        <v>285</v>
      </c>
      <c r="B154" s="20" t="s">
        <v>1</v>
      </c>
      <c r="C154" s="52" t="s">
        <v>115</v>
      </c>
      <c r="E154" t="str">
        <f>IF(VLOOKUP(C154,'42'!$B$8:$C$13,2,FALSE)="Yes", "TRUE", "")</f>
        <v/>
      </c>
      <c r="F154" s="35">
        <v>0</v>
      </c>
      <c r="G154" s="35">
        <v>1</v>
      </c>
      <c r="H154" s="21" t="s">
        <v>16</v>
      </c>
      <c r="I154" s="21"/>
      <c r="J154" s="34">
        <v>42</v>
      </c>
      <c r="K154" s="34">
        <v>7</v>
      </c>
      <c r="L154" t="str">
        <f>IF('42'!$A$21="","",'42'!$A$21)</f>
        <v/>
      </c>
      <c r="M154" t="str">
        <f>IF('42'!$E$21="","",'42'!$E$21)</f>
        <v/>
      </c>
      <c r="N154" t="str">
        <f>IF('42'!$F$7="","",'42'!$F$7)</f>
        <v/>
      </c>
    </row>
    <row r="155" spans="1:14" hidden="1" x14ac:dyDescent="0.3">
      <c r="A155" s="20" t="s">
        <v>285</v>
      </c>
      <c r="B155" s="20" t="s">
        <v>1</v>
      </c>
      <c r="C155" s="52" t="s">
        <v>116</v>
      </c>
      <c r="E155" t="str">
        <f>IF(VLOOKUP(C155,'42'!$B$8:$C$13,2,FALSE)="Yes", "TRUE", "")</f>
        <v/>
      </c>
      <c r="F155" s="35">
        <v>0</v>
      </c>
      <c r="G155" s="35">
        <v>1</v>
      </c>
      <c r="H155" s="21" t="s">
        <v>16</v>
      </c>
      <c r="I155" s="21"/>
      <c r="J155" s="34">
        <v>42</v>
      </c>
      <c r="K155" s="34">
        <v>7</v>
      </c>
      <c r="L155" t="str">
        <f>IF('42'!$A$21="","",'42'!$A$21)</f>
        <v/>
      </c>
      <c r="M155" t="str">
        <f>IF('42'!$E$21="","",'42'!$E$21)</f>
        <v/>
      </c>
      <c r="N155" t="str">
        <f>IF('42'!$F$7="","",'42'!$F$7)</f>
        <v/>
      </c>
    </row>
    <row r="156" spans="1:14" ht="28.8" hidden="1" x14ac:dyDescent="0.3">
      <c r="A156" s="20" t="s">
        <v>285</v>
      </c>
      <c r="B156" s="20" t="s">
        <v>1</v>
      </c>
      <c r="C156" s="52" t="s">
        <v>286</v>
      </c>
      <c r="E156" t="str">
        <f>IF(VLOOKUP(C156,'42'!$B$8:$C$13,2,FALSE)="Yes", "TRUE", "")</f>
        <v/>
      </c>
      <c r="F156" s="35">
        <v>0</v>
      </c>
      <c r="G156" s="35">
        <v>1</v>
      </c>
      <c r="H156" s="21" t="s">
        <v>16</v>
      </c>
      <c r="I156" s="21"/>
      <c r="J156" s="34">
        <v>42</v>
      </c>
      <c r="K156" s="34">
        <v>7</v>
      </c>
      <c r="L156" t="str">
        <f>IF('42'!$A$21="","",'42'!$A$21)</f>
        <v/>
      </c>
      <c r="M156" t="str">
        <f>IF('42'!$E$21="","",'42'!$E$21)</f>
        <v/>
      </c>
      <c r="N156" t="str">
        <f>IF('42'!$F$7="","",'42'!$F$7)</f>
        <v/>
      </c>
    </row>
    <row r="157" spans="1:14" ht="57.6" hidden="1" x14ac:dyDescent="0.3">
      <c r="A157" s="20" t="s">
        <v>285</v>
      </c>
      <c r="B157" s="20" t="s">
        <v>1</v>
      </c>
      <c r="C157" s="52" t="s">
        <v>117</v>
      </c>
      <c r="E157" t="str">
        <f>IF(VLOOKUP(LEFT(C157, 255),'42'!$B$8:$C$13,2,FALSE)="Yes", "TRUE", "")</f>
        <v/>
      </c>
      <c r="F157" s="35">
        <v>0</v>
      </c>
      <c r="G157" s="35">
        <v>1</v>
      </c>
      <c r="H157" s="21" t="s">
        <v>16</v>
      </c>
      <c r="I157" s="21"/>
      <c r="J157" s="34">
        <v>42</v>
      </c>
      <c r="K157" s="34">
        <v>7</v>
      </c>
      <c r="L157" t="str">
        <f>IF('42'!$A$21="","",'42'!$A$21)</f>
        <v/>
      </c>
      <c r="M157" t="str">
        <f>IF('42'!$E$21="","",'42'!$E$21)</f>
        <v/>
      </c>
      <c r="N157" t="str">
        <f>IF('42'!$F$7="","",'42'!$F$7)</f>
        <v/>
      </c>
    </row>
    <row r="158" spans="1:14" ht="28.8" hidden="1" x14ac:dyDescent="0.3">
      <c r="A158" s="20" t="s">
        <v>285</v>
      </c>
      <c r="B158" s="20" t="s">
        <v>1</v>
      </c>
      <c r="C158" s="52" t="s">
        <v>287</v>
      </c>
      <c r="E158" t="str">
        <f>IF(VLOOKUP(C158,'42'!$B$8:$C$13,2,FALSE)="Yes", "TRUE", "")</f>
        <v/>
      </c>
      <c r="F158" s="35">
        <v>0</v>
      </c>
      <c r="G158" s="35">
        <v>1</v>
      </c>
      <c r="H158" s="21" t="s">
        <v>16</v>
      </c>
      <c r="I158" s="21"/>
      <c r="J158" s="34">
        <v>42</v>
      </c>
      <c r="K158" s="34">
        <v>7</v>
      </c>
      <c r="L158" t="str">
        <f>IF('42'!$A$21="","",'42'!$A$21)</f>
        <v/>
      </c>
      <c r="M158" t="str">
        <f>IF('42'!$E$21="","",'42'!$E$21)</f>
        <v/>
      </c>
      <c r="N158" t="str">
        <f>IF('42'!$F$7="","",'42'!$F$7)</f>
        <v/>
      </c>
    </row>
    <row r="159" spans="1:14" ht="28.8" hidden="1" x14ac:dyDescent="0.3">
      <c r="A159" s="20" t="s">
        <v>285</v>
      </c>
      <c r="B159" s="20" t="s">
        <v>1</v>
      </c>
      <c r="C159" s="52" t="s">
        <v>288</v>
      </c>
      <c r="E159" t="str">
        <f>IF(VLOOKUP(C159,'42'!$B$8:$C$13,2,FALSE)="Yes", "TRUE", "")</f>
        <v/>
      </c>
      <c r="F159" s="35">
        <v>0</v>
      </c>
      <c r="G159" s="35">
        <v>1</v>
      </c>
      <c r="H159" s="21" t="s">
        <v>16</v>
      </c>
      <c r="I159" s="21"/>
      <c r="J159" s="34">
        <v>42</v>
      </c>
      <c r="K159" s="34">
        <v>7</v>
      </c>
      <c r="L159" t="str">
        <f>IF('42'!$A$21="","",'42'!$A$21)</f>
        <v/>
      </c>
      <c r="M159" t="str">
        <f>IF('42'!$E$21="","",'42'!$E$21)</f>
        <v/>
      </c>
      <c r="N159" t="str">
        <f>IF('42'!$F$7="","",'42'!$F$7)</f>
        <v/>
      </c>
    </row>
    <row r="160" spans="1:14" hidden="1" x14ac:dyDescent="0.3">
      <c r="A160" s="20" t="s">
        <v>289</v>
      </c>
      <c r="B160" s="20" t="s">
        <v>375</v>
      </c>
      <c r="C160" s="21"/>
      <c r="D160">
        <v>-2</v>
      </c>
      <c r="E160" s="4" t="str">
        <f>IF(B160='42'!$C$14,"TRUE","")</f>
        <v/>
      </c>
      <c r="F160" s="35">
        <v>0</v>
      </c>
      <c r="G160" s="35">
        <v>2</v>
      </c>
      <c r="H160" s="21" t="s">
        <v>16</v>
      </c>
      <c r="I160" s="21"/>
      <c r="J160" s="34">
        <v>42</v>
      </c>
      <c r="K160" s="34">
        <v>7</v>
      </c>
      <c r="L160" t="str">
        <f>IF('42'!$A$21="","",'42'!$A$21)</f>
        <v/>
      </c>
      <c r="M160" t="str">
        <f>IF('42'!$E$21="","",'42'!$E$21)</f>
        <v/>
      </c>
      <c r="N160" t="str">
        <f>IF('42'!$F$14="","",'42'!$F$14)</f>
        <v/>
      </c>
    </row>
    <row r="161" spans="1:14" hidden="1" x14ac:dyDescent="0.3">
      <c r="A161" s="20" t="s">
        <v>289</v>
      </c>
      <c r="B161" s="20" t="s">
        <v>1</v>
      </c>
      <c r="C161" s="52" t="s">
        <v>118</v>
      </c>
      <c r="E161" t="str">
        <f>IF(VLOOKUP(C161,'42'!$B$15:$C$18,2,FALSE)="Yes", "TRUE", "")</f>
        <v/>
      </c>
      <c r="F161" s="35">
        <v>0</v>
      </c>
      <c r="G161" s="35">
        <v>2</v>
      </c>
      <c r="H161" s="21" t="s">
        <v>16</v>
      </c>
      <c r="I161" s="21"/>
      <c r="J161" s="34">
        <v>42</v>
      </c>
      <c r="K161" s="34">
        <v>7</v>
      </c>
      <c r="L161" t="str">
        <f>IF('42'!$A$21="","",'42'!$A$21)</f>
        <v/>
      </c>
      <c r="M161" t="str">
        <f>IF('42'!$E$21="","",'42'!$E$21)</f>
        <v/>
      </c>
      <c r="N161" t="str">
        <f>IF('42'!$F$14="","",'42'!$F$14)</f>
        <v/>
      </c>
    </row>
    <row r="162" spans="1:14" hidden="1" x14ac:dyDescent="0.3">
      <c r="A162" s="20" t="s">
        <v>289</v>
      </c>
      <c r="B162" s="20" t="s">
        <v>1</v>
      </c>
      <c r="C162" s="52" t="s">
        <v>119</v>
      </c>
      <c r="E162" t="str">
        <f>IF(VLOOKUP(C162,'42'!$B$15:$C$18,2,FALSE)="Yes", "TRUE", "")</f>
        <v/>
      </c>
      <c r="F162" s="35">
        <v>0</v>
      </c>
      <c r="G162" s="35">
        <v>2</v>
      </c>
      <c r="H162" s="21" t="s">
        <v>16</v>
      </c>
      <c r="I162" s="21"/>
      <c r="J162" s="34">
        <v>42</v>
      </c>
      <c r="K162" s="34">
        <v>7</v>
      </c>
      <c r="L162" t="str">
        <f>IF('42'!$A$21="","",'42'!$A$21)</f>
        <v/>
      </c>
      <c r="M162" t="str">
        <f>IF('42'!$E$21="","",'42'!$E$21)</f>
        <v/>
      </c>
      <c r="N162" t="str">
        <f>IF('42'!$F$14="","",'42'!$F$14)</f>
        <v/>
      </c>
    </row>
    <row r="163" spans="1:14" hidden="1" x14ac:dyDescent="0.3">
      <c r="A163" s="20" t="s">
        <v>289</v>
      </c>
      <c r="B163" s="20" t="s">
        <v>1</v>
      </c>
      <c r="C163" s="52" t="s">
        <v>120</v>
      </c>
      <c r="E163" t="str">
        <f>IF(VLOOKUP(C163,'42'!$B$15:$C$18,2,FALSE)="Yes", "TRUE", "")</f>
        <v/>
      </c>
      <c r="F163" s="35">
        <v>0</v>
      </c>
      <c r="G163" s="35">
        <v>2</v>
      </c>
      <c r="H163" s="21" t="s">
        <v>16</v>
      </c>
      <c r="I163" s="21"/>
      <c r="J163" s="34">
        <v>42</v>
      </c>
      <c r="K163" s="34">
        <v>7</v>
      </c>
      <c r="L163" t="str">
        <f>IF('42'!$A$21="","",'42'!$A$21)</f>
        <v/>
      </c>
      <c r="M163" t="str">
        <f>IF('42'!$E$21="","",'42'!$E$21)</f>
        <v/>
      </c>
      <c r="N163" t="str">
        <f>IF('42'!$F$14="","",'42'!$F$14)</f>
        <v/>
      </c>
    </row>
    <row r="164" spans="1:14" ht="43.2" hidden="1" x14ac:dyDescent="0.3">
      <c r="A164" s="20" t="s">
        <v>289</v>
      </c>
      <c r="B164" s="20" t="s">
        <v>1</v>
      </c>
      <c r="C164" s="52" t="s">
        <v>290</v>
      </c>
      <c r="E164" t="str">
        <f>IF(VLOOKUP(C164,'42'!$B$15:$C$18,2,FALSE)="Yes", "TRUE", "")</f>
        <v/>
      </c>
      <c r="F164" s="35">
        <v>0</v>
      </c>
      <c r="G164" s="35">
        <v>2</v>
      </c>
      <c r="H164" s="21" t="s">
        <v>16</v>
      </c>
      <c r="I164" s="21"/>
      <c r="J164" s="34">
        <v>42</v>
      </c>
      <c r="K164" s="34">
        <v>7</v>
      </c>
      <c r="L164" t="str">
        <f>IF('42'!$A$21="","",'42'!$A$21)</f>
        <v/>
      </c>
      <c r="M164" t="str">
        <f>IF('42'!$E$21="","",'42'!$E$21)</f>
        <v/>
      </c>
      <c r="N164" t="str">
        <f>IF('42'!$F$14="","",'42'!$F$14)</f>
        <v/>
      </c>
    </row>
    <row r="165" spans="1:14" hidden="1" x14ac:dyDescent="0.3">
      <c r="A165" s="20" t="s">
        <v>337</v>
      </c>
      <c r="B165" s="20" t="s">
        <v>375</v>
      </c>
      <c r="C165" s="20"/>
      <c r="D165">
        <v>-2</v>
      </c>
      <c r="E165" s="4" t="str">
        <f>IF(B165='43'!$B$2,"TRUE","")</f>
        <v/>
      </c>
      <c r="F165" s="35">
        <v>0</v>
      </c>
      <c r="G165" s="35">
        <v>0</v>
      </c>
      <c r="H165" s="21" t="s">
        <v>16</v>
      </c>
      <c r="I165" s="21"/>
      <c r="J165" s="34">
        <v>43</v>
      </c>
      <c r="K165" s="34">
        <v>8</v>
      </c>
      <c r="L165" t="str">
        <f>IF('43'!$A$12="","",'43'!$A$12)</f>
        <v/>
      </c>
      <c r="M165" t="str">
        <f>IF('43'!$D$12="","",'43'!$D$12)</f>
        <v/>
      </c>
      <c r="N165" t="str">
        <f>IF('43'!$E$2="","",'43'!$E$2)</f>
        <v/>
      </c>
    </row>
    <row r="166" spans="1:14" hidden="1" x14ac:dyDescent="0.3">
      <c r="A166" s="20" t="s">
        <v>337</v>
      </c>
      <c r="B166" s="20" t="s">
        <v>1</v>
      </c>
      <c r="C166" s="20" t="s">
        <v>121</v>
      </c>
      <c r="E166" t="str">
        <f>IF(VLOOKUP(C166,'43'!$A$3:$B$7,2,FALSE)="Yes", "TRUE", "")</f>
        <v/>
      </c>
      <c r="F166" s="35">
        <v>0</v>
      </c>
      <c r="G166" s="35">
        <v>0</v>
      </c>
      <c r="H166" s="21" t="s">
        <v>16</v>
      </c>
      <c r="I166" s="21"/>
      <c r="J166" s="34">
        <v>43</v>
      </c>
      <c r="K166" s="34">
        <v>8</v>
      </c>
      <c r="L166" t="str">
        <f>IF('43'!$A$12="","",'43'!$A$12)</f>
        <v/>
      </c>
      <c r="M166" t="str">
        <f>IF('43'!$D$12="","",'43'!$D$12)</f>
        <v/>
      </c>
      <c r="N166" t="str">
        <f>IF('43'!$E$2="","",'43'!$E$2)</f>
        <v/>
      </c>
    </row>
    <row r="167" spans="1:14" hidden="1" x14ac:dyDescent="0.3">
      <c r="A167" s="20" t="s">
        <v>337</v>
      </c>
      <c r="B167" s="20" t="s">
        <v>1</v>
      </c>
      <c r="C167" s="20" t="s">
        <v>122</v>
      </c>
      <c r="E167" t="str">
        <f>IF(VLOOKUP(C167,'43'!$A$3:$B$7,2,FALSE)="Yes", "TRUE", "")</f>
        <v/>
      </c>
      <c r="F167" s="35">
        <v>0</v>
      </c>
      <c r="G167" s="35">
        <v>0</v>
      </c>
      <c r="H167" s="21" t="s">
        <v>16</v>
      </c>
      <c r="I167" s="21"/>
      <c r="J167" s="34">
        <v>43</v>
      </c>
      <c r="K167" s="34">
        <v>8</v>
      </c>
      <c r="L167" t="str">
        <f>IF('43'!$A$12="","",'43'!$A$12)</f>
        <v/>
      </c>
      <c r="M167" t="str">
        <f>IF('43'!$D$12="","",'43'!$D$12)</f>
        <v/>
      </c>
      <c r="N167" t="str">
        <f>IF('43'!$E$2="","",'43'!$E$2)</f>
        <v/>
      </c>
    </row>
    <row r="168" spans="1:14" hidden="1" x14ac:dyDescent="0.3">
      <c r="A168" s="20" t="s">
        <v>337</v>
      </c>
      <c r="B168" s="20" t="s">
        <v>1</v>
      </c>
      <c r="C168" s="20" t="s">
        <v>123</v>
      </c>
      <c r="E168" t="str">
        <f>IF(VLOOKUP(C168,'43'!$A$3:$B$7,2,FALSE)="Yes", "TRUE", "")</f>
        <v/>
      </c>
      <c r="F168" s="35">
        <v>0</v>
      </c>
      <c r="G168" s="35">
        <v>0</v>
      </c>
      <c r="H168" s="21" t="s">
        <v>16</v>
      </c>
      <c r="I168" s="21"/>
      <c r="J168" s="34">
        <v>43</v>
      </c>
      <c r="K168" s="34">
        <v>8</v>
      </c>
      <c r="L168" t="str">
        <f>IF('43'!$A$12="","",'43'!$A$12)</f>
        <v/>
      </c>
      <c r="M168" t="str">
        <f>IF('43'!$D$12="","",'43'!$D$12)</f>
        <v/>
      </c>
      <c r="N168" t="str">
        <f>IF('43'!$E$2="","",'43'!$E$2)</f>
        <v/>
      </c>
    </row>
    <row r="169" spans="1:14" hidden="1" x14ac:dyDescent="0.3">
      <c r="A169" s="20" t="s">
        <v>337</v>
      </c>
      <c r="B169" s="20" t="s">
        <v>1</v>
      </c>
      <c r="C169" s="20" t="s">
        <v>338</v>
      </c>
      <c r="E169" t="str">
        <f>IF(VLOOKUP(C169,'43'!$A$3:$B$7,2,FALSE)="Yes", "TRUE", "")</f>
        <v/>
      </c>
      <c r="F169" s="35">
        <v>0</v>
      </c>
      <c r="G169" s="35">
        <v>0</v>
      </c>
      <c r="H169" s="21" t="s">
        <v>16</v>
      </c>
      <c r="I169" s="21"/>
      <c r="J169" s="34">
        <v>43</v>
      </c>
      <c r="K169" s="34">
        <v>8</v>
      </c>
      <c r="L169" t="str">
        <f>IF('43'!$A$12="","",'43'!$A$12)</f>
        <v/>
      </c>
      <c r="M169" t="str">
        <f>IF('43'!$D$12="","",'43'!$D$12)</f>
        <v/>
      </c>
      <c r="N169" t="str">
        <f>IF('43'!$E$2="","",'43'!$E$2)</f>
        <v/>
      </c>
    </row>
    <row r="170" spans="1:14" hidden="1" x14ac:dyDescent="0.3">
      <c r="A170" s="20" t="s">
        <v>337</v>
      </c>
      <c r="B170" s="20" t="s">
        <v>1</v>
      </c>
      <c r="C170" s="20" t="s">
        <v>124</v>
      </c>
      <c r="E170" t="str">
        <f>IF(VLOOKUP(C170,'43'!$A$3:$B$7,2,FALSE)="Yes", "TRUE", "")</f>
        <v/>
      </c>
      <c r="F170" s="35">
        <v>0</v>
      </c>
      <c r="G170" s="35">
        <v>0</v>
      </c>
      <c r="H170" s="21" t="s">
        <v>16</v>
      </c>
      <c r="I170" s="21"/>
      <c r="J170" s="34">
        <v>43</v>
      </c>
      <c r="K170" s="34">
        <v>8</v>
      </c>
      <c r="L170" t="str">
        <f>IF('43'!$A$12="","",'43'!$A$12)</f>
        <v/>
      </c>
      <c r="M170" t="str">
        <f>IF('43'!$D$12="","",'43'!$D$12)</f>
        <v/>
      </c>
      <c r="N170" t="str">
        <f>IF('43'!$E$2="","",'43'!$E$2)</f>
        <v/>
      </c>
    </row>
    <row r="171" spans="1:14" hidden="1" x14ac:dyDescent="0.3">
      <c r="A171" s="20" t="s">
        <v>125</v>
      </c>
      <c r="B171" s="20" t="s">
        <v>375</v>
      </c>
      <c r="C171" s="20"/>
      <c r="D171">
        <v>-2</v>
      </c>
      <c r="E171" s="4" t="str">
        <f>IF(B171='43'!$B$8,"TRUE","")</f>
        <v/>
      </c>
      <c r="F171" s="35">
        <v>0</v>
      </c>
      <c r="G171" s="35">
        <v>1</v>
      </c>
      <c r="H171" s="21" t="s">
        <v>18</v>
      </c>
      <c r="I171" s="21"/>
      <c r="J171" s="34">
        <v>43</v>
      </c>
      <c r="K171" s="34">
        <v>8</v>
      </c>
      <c r="L171" t="str">
        <f>IF('43'!$A$12="","",'43'!$A$12)</f>
        <v/>
      </c>
      <c r="M171" t="str">
        <f>IF('43'!$D$12="","",'43'!$D$12)</f>
        <v/>
      </c>
      <c r="N171" t="str">
        <f>IF('43'!$E$8="","",'43'!$E$8)</f>
        <v/>
      </c>
    </row>
    <row r="172" spans="1:14" hidden="1" x14ac:dyDescent="0.3">
      <c r="A172" s="20" t="s">
        <v>125</v>
      </c>
      <c r="B172" s="20" t="s">
        <v>1</v>
      </c>
      <c r="C172" s="20" t="s">
        <v>39</v>
      </c>
      <c r="E172" s="4" t="str">
        <f>IF(C172='43'!$B$9,"TRUE","")</f>
        <v/>
      </c>
      <c r="F172" s="35">
        <v>0</v>
      </c>
      <c r="G172" s="35">
        <v>1</v>
      </c>
      <c r="H172" s="21" t="s">
        <v>18</v>
      </c>
      <c r="I172" s="21"/>
      <c r="J172" s="34">
        <v>43</v>
      </c>
      <c r="K172" s="34">
        <v>8</v>
      </c>
      <c r="L172" t="str">
        <f>IF('43'!$A$12="","",'43'!$A$12)</f>
        <v/>
      </c>
      <c r="M172" t="str">
        <f>IF('43'!$D$12="","",'43'!$D$12)</f>
        <v/>
      </c>
      <c r="N172" t="str">
        <f>IF('43'!$E$8="","",'43'!$E$8)</f>
        <v/>
      </c>
    </row>
    <row r="173" spans="1:14" hidden="1" x14ac:dyDescent="0.3">
      <c r="A173" s="20" t="s">
        <v>125</v>
      </c>
      <c r="B173" s="20" t="s">
        <v>1</v>
      </c>
      <c r="C173" s="20" t="s">
        <v>126</v>
      </c>
      <c r="E173" s="4" t="str">
        <f>IF(C173='43'!$B$9,"TRUE","")</f>
        <v/>
      </c>
      <c r="F173" s="35">
        <v>0</v>
      </c>
      <c r="G173" s="35">
        <v>1</v>
      </c>
      <c r="H173" s="21" t="s">
        <v>18</v>
      </c>
      <c r="I173" s="21"/>
      <c r="J173" s="34">
        <v>43</v>
      </c>
      <c r="K173" s="34">
        <v>8</v>
      </c>
      <c r="L173" t="str">
        <f>IF('43'!$A$12="","",'43'!$A$12)</f>
        <v/>
      </c>
      <c r="M173" t="str">
        <f>IF('43'!$D$12="","",'43'!$D$12)</f>
        <v/>
      </c>
      <c r="N173" t="str">
        <f>IF('43'!$E$8="","",'43'!$E$8)</f>
        <v/>
      </c>
    </row>
    <row r="174" spans="1:14" hidden="1" x14ac:dyDescent="0.3">
      <c r="A174" s="20" t="s">
        <v>125</v>
      </c>
      <c r="B174" s="20" t="s">
        <v>1</v>
      </c>
      <c r="C174" s="20" t="s">
        <v>20</v>
      </c>
      <c r="E174" s="4" t="str">
        <f>IF(C174='43'!$B$9,"TRUE","")</f>
        <v/>
      </c>
      <c r="F174" s="35">
        <v>0</v>
      </c>
      <c r="G174" s="35">
        <v>1</v>
      </c>
      <c r="H174" s="21" t="s">
        <v>18</v>
      </c>
      <c r="I174" s="21"/>
      <c r="J174" s="34">
        <v>43</v>
      </c>
      <c r="K174" s="34">
        <v>8</v>
      </c>
      <c r="L174" t="str">
        <f>IF('43'!$A$12="","",'43'!$A$12)</f>
        <v/>
      </c>
      <c r="M174" t="str">
        <f>IF('43'!$D$12="","",'43'!$D$12)</f>
        <v/>
      </c>
      <c r="N174" t="str">
        <f>IF('43'!$E$8="","",'43'!$E$8)</f>
        <v/>
      </c>
    </row>
    <row r="175" spans="1:14" hidden="1" x14ac:dyDescent="0.3">
      <c r="A175" s="20" t="s">
        <v>342</v>
      </c>
      <c r="B175" s="20" t="s">
        <v>375</v>
      </c>
      <c r="C175" s="20"/>
      <c r="D175">
        <v>-2</v>
      </c>
      <c r="E175" s="4" t="str">
        <f>IF(B175='53'!$B$2,"TRUE","")</f>
        <v/>
      </c>
      <c r="F175" s="35">
        <v>0</v>
      </c>
      <c r="G175" s="35">
        <v>0</v>
      </c>
      <c r="H175" s="21" t="s">
        <v>16</v>
      </c>
      <c r="I175" s="21"/>
      <c r="J175" s="34">
        <v>53</v>
      </c>
      <c r="K175" s="34">
        <v>11</v>
      </c>
      <c r="L175" t="str">
        <f>IF('53'!$A$25="","",'53'!$A$25)</f>
        <v/>
      </c>
      <c r="M175" t="str">
        <f>IF('53'!$D$25="","",'53'!$D$25)</f>
        <v/>
      </c>
      <c r="N175" t="str">
        <f>IF('53'!$E$2="","",'53'!$E$2)</f>
        <v/>
      </c>
    </row>
    <row r="176" spans="1:14" hidden="1" x14ac:dyDescent="0.3">
      <c r="A176" s="20" t="s">
        <v>342</v>
      </c>
      <c r="B176" s="20" t="s">
        <v>1</v>
      </c>
      <c r="C176" s="25" t="s">
        <v>277</v>
      </c>
      <c r="E176" t="str">
        <f>IF(VLOOKUP(C176,'53'!$A$3:$B$10,2,FALSE)="Yes", "TRUE", "")</f>
        <v/>
      </c>
      <c r="F176" s="35">
        <v>0</v>
      </c>
      <c r="G176" s="35">
        <v>0</v>
      </c>
      <c r="H176" s="21" t="s">
        <v>16</v>
      </c>
      <c r="I176" s="21"/>
      <c r="J176" s="34">
        <v>53</v>
      </c>
      <c r="K176" s="34">
        <v>11</v>
      </c>
      <c r="L176" t="str">
        <f>IF('53'!$A$25="","",'53'!$A$25)</f>
        <v/>
      </c>
      <c r="M176" t="str">
        <f>IF('53'!$D$25="","",'53'!$D$25)</f>
        <v/>
      </c>
      <c r="N176" t="str">
        <f>IF('53'!$E$2="","",'53'!$E$2)</f>
        <v/>
      </c>
    </row>
    <row r="177" spans="1:14" hidden="1" x14ac:dyDescent="0.3">
      <c r="A177" s="20" t="s">
        <v>342</v>
      </c>
      <c r="B177" s="20" t="s">
        <v>1</v>
      </c>
      <c r="C177" s="25" t="s">
        <v>343</v>
      </c>
      <c r="E177" t="str">
        <f>IF(VLOOKUP(C177,'53'!$A$3:$B$10,2,FALSE)="Yes", "TRUE", "")</f>
        <v/>
      </c>
      <c r="F177" s="35">
        <v>0</v>
      </c>
      <c r="G177" s="35">
        <v>0</v>
      </c>
      <c r="H177" s="21" t="s">
        <v>16</v>
      </c>
      <c r="I177" s="21"/>
      <c r="J177" s="34">
        <v>53</v>
      </c>
      <c r="K177" s="34">
        <v>11</v>
      </c>
      <c r="L177" t="str">
        <f>IF('53'!$A$25="","",'53'!$A$25)</f>
        <v/>
      </c>
      <c r="M177" t="str">
        <f>IF('53'!$D$25="","",'53'!$D$25)</f>
        <v/>
      </c>
      <c r="N177" t="str">
        <f>IF('53'!$E$2="","",'53'!$E$2)</f>
        <v/>
      </c>
    </row>
    <row r="178" spans="1:14" hidden="1" x14ac:dyDescent="0.3">
      <c r="A178" s="20" t="s">
        <v>342</v>
      </c>
      <c r="B178" s="20" t="s">
        <v>1</v>
      </c>
      <c r="C178" s="25" t="s">
        <v>127</v>
      </c>
      <c r="E178" t="str">
        <f>IF(VLOOKUP(C178,'53'!$A$3:$B$10,2,FALSE)="Yes", "TRUE", "")</f>
        <v/>
      </c>
      <c r="F178" s="35">
        <v>0</v>
      </c>
      <c r="G178" s="35">
        <v>0</v>
      </c>
      <c r="H178" s="21" t="s">
        <v>16</v>
      </c>
      <c r="I178" s="21"/>
      <c r="J178" s="34">
        <v>53</v>
      </c>
      <c r="K178" s="34">
        <v>11</v>
      </c>
      <c r="L178" t="str">
        <f>IF('53'!$A$25="","",'53'!$A$25)</f>
        <v/>
      </c>
      <c r="M178" t="str">
        <f>IF('53'!$D$25="","",'53'!$D$25)</f>
        <v/>
      </c>
      <c r="N178" t="str">
        <f>IF('53'!$E$2="","",'53'!$E$2)</f>
        <v/>
      </c>
    </row>
    <row r="179" spans="1:14" hidden="1" x14ac:dyDescent="0.3">
      <c r="A179" s="20" t="s">
        <v>342</v>
      </c>
      <c r="B179" s="20" t="s">
        <v>1</v>
      </c>
      <c r="C179" s="25" t="s">
        <v>128</v>
      </c>
      <c r="E179" t="str">
        <f>IF(VLOOKUP(C179,'53'!$A$3:$B$10,2,FALSE)="Yes", "TRUE", "")</f>
        <v/>
      </c>
      <c r="F179" s="35">
        <v>0</v>
      </c>
      <c r="G179" s="35">
        <v>0</v>
      </c>
      <c r="H179" s="21" t="s">
        <v>16</v>
      </c>
      <c r="I179" s="21"/>
      <c r="J179" s="34">
        <v>53</v>
      </c>
      <c r="K179" s="34">
        <v>11</v>
      </c>
      <c r="L179" t="str">
        <f>IF('53'!$A$25="","",'53'!$A$25)</f>
        <v/>
      </c>
      <c r="M179" t="str">
        <f>IF('53'!$D$25="","",'53'!$D$25)</f>
        <v/>
      </c>
      <c r="N179" t="str">
        <f>IF('53'!$E$2="","",'53'!$E$2)</f>
        <v/>
      </c>
    </row>
    <row r="180" spans="1:14" hidden="1" x14ac:dyDescent="0.3">
      <c r="A180" s="20" t="s">
        <v>342</v>
      </c>
      <c r="B180" s="20" t="s">
        <v>1</v>
      </c>
      <c r="C180" s="25" t="s">
        <v>344</v>
      </c>
      <c r="E180" t="str">
        <f>IF(VLOOKUP(C180,'53'!$A$3:$B$10,2,FALSE)="Yes", "TRUE", "")</f>
        <v/>
      </c>
      <c r="F180" s="35">
        <v>0</v>
      </c>
      <c r="G180" s="35">
        <v>0</v>
      </c>
      <c r="H180" s="21" t="s">
        <v>16</v>
      </c>
      <c r="I180" s="21"/>
      <c r="J180" s="34">
        <v>53</v>
      </c>
      <c r="K180" s="34">
        <v>11</v>
      </c>
      <c r="L180" t="str">
        <f>IF('53'!$A$25="","",'53'!$A$25)</f>
        <v/>
      </c>
      <c r="M180" t="str">
        <f>IF('53'!$D$25="","",'53'!$D$25)</f>
        <v/>
      </c>
      <c r="N180" t="str">
        <f>IF('53'!$E$2="","",'53'!$E$2)</f>
        <v/>
      </c>
    </row>
    <row r="181" spans="1:14" hidden="1" x14ac:dyDescent="0.3">
      <c r="A181" s="20" t="s">
        <v>342</v>
      </c>
      <c r="B181" s="20" t="s">
        <v>1</v>
      </c>
      <c r="C181" s="25" t="s">
        <v>345</v>
      </c>
      <c r="E181" t="str">
        <f>IF(VLOOKUP(C181,'53'!$A$3:$B$10,2,FALSE)="Yes", "TRUE", "")</f>
        <v/>
      </c>
      <c r="F181" s="35">
        <v>0</v>
      </c>
      <c r="G181" s="35">
        <v>0</v>
      </c>
      <c r="H181" s="21" t="s">
        <v>16</v>
      </c>
      <c r="I181" s="21"/>
      <c r="J181" s="34">
        <v>53</v>
      </c>
      <c r="K181" s="34">
        <v>11</v>
      </c>
      <c r="L181" t="str">
        <f>IF('53'!$A$25="","",'53'!$A$25)</f>
        <v/>
      </c>
      <c r="M181" t="str">
        <f>IF('53'!$D$25="","",'53'!$D$25)</f>
        <v/>
      </c>
      <c r="N181" t="str">
        <f>IF('53'!$E$2="","",'53'!$E$2)</f>
        <v/>
      </c>
    </row>
    <row r="182" spans="1:14" hidden="1" x14ac:dyDescent="0.3">
      <c r="A182" s="20" t="s">
        <v>342</v>
      </c>
      <c r="B182" s="20" t="s">
        <v>1</v>
      </c>
      <c r="C182" s="25" t="s">
        <v>346</v>
      </c>
      <c r="E182" t="str">
        <f>IF(VLOOKUP(C182,'53'!$A$3:$B$10,2,FALSE)="Yes", "TRUE", "")</f>
        <v/>
      </c>
      <c r="F182" s="35">
        <v>0</v>
      </c>
      <c r="G182" s="35">
        <v>0</v>
      </c>
      <c r="H182" s="21" t="s">
        <v>16</v>
      </c>
      <c r="I182" s="21"/>
      <c r="J182" s="34">
        <v>53</v>
      </c>
      <c r="K182" s="34">
        <v>11</v>
      </c>
      <c r="L182" t="str">
        <f>IF('53'!$A$25="","",'53'!$A$25)</f>
        <v/>
      </c>
      <c r="M182" t="str">
        <f>IF('53'!$D$25="","",'53'!$D$25)</f>
        <v/>
      </c>
      <c r="N182" t="str">
        <f>IF('53'!$E$2="","",'53'!$E$2)</f>
        <v/>
      </c>
    </row>
    <row r="183" spans="1:14" hidden="1" x14ac:dyDescent="0.3">
      <c r="A183" s="20" t="s">
        <v>342</v>
      </c>
      <c r="B183" s="20" t="s">
        <v>1</v>
      </c>
      <c r="C183" s="25" t="s">
        <v>129</v>
      </c>
      <c r="E183" t="str">
        <f>IF(VLOOKUP(C183,'53'!$A$3:$B$10,2,FALSE)="Yes", "TRUE", "")</f>
        <v/>
      </c>
      <c r="F183" s="35">
        <v>0</v>
      </c>
      <c r="G183" s="35">
        <v>0</v>
      </c>
      <c r="H183" s="21" t="s">
        <v>16</v>
      </c>
      <c r="I183" s="21"/>
      <c r="J183" s="34">
        <v>53</v>
      </c>
      <c r="K183" s="34">
        <v>11</v>
      </c>
      <c r="L183" t="str">
        <f>IF('53'!$A$25="","",'53'!$A$25)</f>
        <v/>
      </c>
      <c r="M183" t="str">
        <f>IF('53'!$D$25="","",'53'!$D$25)</f>
        <v/>
      </c>
      <c r="N183" t="str">
        <f>IF('53'!$E$2="","",'53'!$E$2)</f>
        <v/>
      </c>
    </row>
    <row r="184" spans="1:14" hidden="1" x14ac:dyDescent="0.3">
      <c r="A184" s="20" t="s">
        <v>347</v>
      </c>
      <c r="B184" s="20" t="s">
        <v>375</v>
      </c>
      <c r="C184" s="20"/>
      <c r="D184">
        <v>-2</v>
      </c>
      <c r="E184" s="4" t="str">
        <f>IF(B184='53'!$B$11,"TRUE","")</f>
        <v/>
      </c>
      <c r="F184" s="35">
        <v>0</v>
      </c>
      <c r="G184" s="35">
        <v>1</v>
      </c>
      <c r="H184" s="21" t="s">
        <v>16</v>
      </c>
      <c r="I184" s="21"/>
      <c r="J184" s="34">
        <v>53</v>
      </c>
      <c r="K184" s="34">
        <v>11</v>
      </c>
      <c r="L184" t="str">
        <f>IF('53'!$A$25="","",'53'!$A$25)</f>
        <v/>
      </c>
      <c r="M184" t="str">
        <f>IF('53'!$D$25="","",'53'!$D$25)</f>
        <v/>
      </c>
      <c r="N184" t="str">
        <f>IF('53'!$E$11="","",'53'!$E$11)</f>
        <v/>
      </c>
    </row>
    <row r="185" spans="1:14" hidden="1" x14ac:dyDescent="0.3">
      <c r="A185" s="20" t="s">
        <v>347</v>
      </c>
      <c r="B185" s="20" t="s">
        <v>1</v>
      </c>
      <c r="C185" s="25" t="s">
        <v>348</v>
      </c>
      <c r="E185" t="str">
        <f>IF(VLOOKUP(C185,'53'!$A$10:$B$16,2,FALSE)="Yes", "TRUE", "")</f>
        <v/>
      </c>
      <c r="F185" s="35">
        <v>0</v>
      </c>
      <c r="G185" s="35">
        <v>1</v>
      </c>
      <c r="H185" s="21" t="s">
        <v>16</v>
      </c>
      <c r="I185" s="21"/>
      <c r="J185" s="34">
        <v>53</v>
      </c>
      <c r="K185" s="34">
        <v>11</v>
      </c>
      <c r="L185" t="str">
        <f>IF('53'!$A$25="","",'53'!$A$25)</f>
        <v/>
      </c>
      <c r="M185" t="str">
        <f>IF('53'!$D$25="","",'53'!$D$25)</f>
        <v/>
      </c>
      <c r="N185" t="str">
        <f>IF('53'!$E$11="","",'53'!$E$11)</f>
        <v/>
      </c>
    </row>
    <row r="186" spans="1:14" hidden="1" x14ac:dyDescent="0.3">
      <c r="A186" s="20" t="s">
        <v>347</v>
      </c>
      <c r="B186" s="20" t="s">
        <v>1</v>
      </c>
      <c r="C186" s="25" t="s">
        <v>130</v>
      </c>
      <c r="E186" t="str">
        <f>IF(VLOOKUP(C186,'53'!$A$10:$B$16,2,FALSE)="Yes", "TRUE", "")</f>
        <v/>
      </c>
      <c r="F186" s="35">
        <v>0</v>
      </c>
      <c r="G186" s="35">
        <v>1</v>
      </c>
      <c r="H186" s="21" t="s">
        <v>16</v>
      </c>
      <c r="I186" s="21"/>
      <c r="J186" s="34">
        <v>53</v>
      </c>
      <c r="K186" s="34">
        <v>11</v>
      </c>
      <c r="L186" t="str">
        <f>IF('53'!$A$25="","",'53'!$A$25)</f>
        <v/>
      </c>
      <c r="M186" t="str">
        <f>IF('53'!$D$25="","",'53'!$D$25)</f>
        <v/>
      </c>
      <c r="N186" t="str">
        <f>IF('53'!$E$11="","",'53'!$E$11)</f>
        <v/>
      </c>
    </row>
    <row r="187" spans="1:14" hidden="1" x14ac:dyDescent="0.3">
      <c r="A187" s="20" t="s">
        <v>347</v>
      </c>
      <c r="B187" s="20" t="s">
        <v>1</v>
      </c>
      <c r="C187" s="25" t="s">
        <v>349</v>
      </c>
      <c r="E187" t="str">
        <f>IF(VLOOKUP(C187,'53'!$A$10:$B$16,2,FALSE)="Yes", "TRUE", "")</f>
        <v/>
      </c>
      <c r="F187" s="35">
        <v>0</v>
      </c>
      <c r="G187" s="35">
        <v>1</v>
      </c>
      <c r="H187" s="21" t="s">
        <v>16</v>
      </c>
      <c r="I187" s="21"/>
      <c r="J187" s="34">
        <v>53</v>
      </c>
      <c r="K187" s="34">
        <v>11</v>
      </c>
      <c r="L187" t="str">
        <f>IF('53'!$A$25="","",'53'!$A$25)</f>
        <v/>
      </c>
      <c r="M187" t="str">
        <f>IF('53'!$D$25="","",'53'!$D$25)</f>
        <v/>
      </c>
      <c r="N187" t="str">
        <f>IF('53'!$E$11="","",'53'!$E$11)</f>
        <v/>
      </c>
    </row>
    <row r="188" spans="1:14" hidden="1" x14ac:dyDescent="0.3">
      <c r="A188" s="20" t="s">
        <v>347</v>
      </c>
      <c r="B188" s="20" t="s">
        <v>1</v>
      </c>
      <c r="C188" s="25" t="s">
        <v>131</v>
      </c>
      <c r="E188" t="str">
        <f>IF(VLOOKUP(C188,'53'!$A$10:$B$16,2,FALSE)="Yes", "TRUE", "")</f>
        <v/>
      </c>
      <c r="F188" s="35">
        <v>0</v>
      </c>
      <c r="G188" s="35">
        <v>1</v>
      </c>
      <c r="H188" s="21" t="s">
        <v>16</v>
      </c>
      <c r="I188" s="21"/>
      <c r="J188" s="34">
        <v>53</v>
      </c>
      <c r="K188" s="34">
        <v>11</v>
      </c>
      <c r="L188" t="str">
        <f>IF('53'!$A$25="","",'53'!$A$25)</f>
        <v/>
      </c>
      <c r="M188" t="str">
        <f>IF('53'!$D$25="","",'53'!$D$25)</f>
        <v/>
      </c>
      <c r="N188" t="str">
        <f>IF('53'!$E$11="","",'53'!$E$11)</f>
        <v/>
      </c>
    </row>
    <row r="189" spans="1:14" hidden="1" x14ac:dyDescent="0.3">
      <c r="A189" s="20" t="s">
        <v>347</v>
      </c>
      <c r="B189" s="20" t="s">
        <v>1</v>
      </c>
      <c r="C189" s="25" t="s">
        <v>132</v>
      </c>
      <c r="E189" t="str">
        <f>IF(VLOOKUP(C189,'53'!$A$10:$B$16,2,FALSE)="Yes", "TRUE", "")</f>
        <v/>
      </c>
      <c r="F189" s="35">
        <v>0</v>
      </c>
      <c r="G189" s="35">
        <v>1</v>
      </c>
      <c r="H189" s="21" t="s">
        <v>16</v>
      </c>
      <c r="I189" s="21"/>
      <c r="J189" s="34">
        <v>53</v>
      </c>
      <c r="K189" s="34">
        <v>11</v>
      </c>
      <c r="L189" t="str">
        <f>IF('53'!$A$25="","",'53'!$A$25)</f>
        <v/>
      </c>
      <c r="M189" t="str">
        <f>IF('53'!$D$25="","",'53'!$D$25)</f>
        <v/>
      </c>
      <c r="N189" t="str">
        <f>IF('53'!$E$11="","",'53'!$E$11)</f>
        <v/>
      </c>
    </row>
    <row r="190" spans="1:14" hidden="1" x14ac:dyDescent="0.3">
      <c r="A190" s="20" t="s">
        <v>350</v>
      </c>
      <c r="B190" s="20" t="s">
        <v>375</v>
      </c>
      <c r="C190" s="20"/>
      <c r="D190">
        <v>-2</v>
      </c>
      <c r="E190" s="4" t="str">
        <f>IF(B190='53'!$B$17,"TRUE","")</f>
        <v/>
      </c>
      <c r="F190" s="35">
        <v>0</v>
      </c>
      <c r="G190" s="34">
        <v>2</v>
      </c>
      <c r="H190" s="21" t="s">
        <v>18</v>
      </c>
      <c r="I190" s="21"/>
      <c r="J190" s="34">
        <v>53</v>
      </c>
      <c r="K190" s="34">
        <v>11</v>
      </c>
      <c r="L190" t="str">
        <f>IF('53'!$A$25="","",'53'!$A$25)</f>
        <v/>
      </c>
      <c r="M190" t="str">
        <f>IF('53'!$D$25="","",'53'!$D$25)</f>
        <v/>
      </c>
      <c r="N190" t="str">
        <f>IF('53'!$E$17="","",'53'!$E$17)</f>
        <v/>
      </c>
    </row>
    <row r="191" spans="1:14" hidden="1" x14ac:dyDescent="0.3">
      <c r="A191" s="20" t="s">
        <v>350</v>
      </c>
      <c r="B191" s="20" t="s">
        <v>1</v>
      </c>
      <c r="C191" s="20" t="s">
        <v>282</v>
      </c>
      <c r="E191" s="4" t="str">
        <f>IF(C191='53'!$B$18,"TRUE","")</f>
        <v/>
      </c>
      <c r="F191" s="35">
        <v>0</v>
      </c>
      <c r="G191" s="34">
        <v>2</v>
      </c>
      <c r="H191" s="21" t="s">
        <v>18</v>
      </c>
      <c r="I191" s="21"/>
      <c r="J191" s="34">
        <v>53</v>
      </c>
      <c r="K191" s="34">
        <v>11</v>
      </c>
      <c r="L191" t="str">
        <f>IF('53'!$A$25="","",'53'!$A$25)</f>
        <v/>
      </c>
      <c r="M191" t="str">
        <f>IF('53'!$D$25="","",'53'!$D$25)</f>
        <v/>
      </c>
      <c r="N191" t="str">
        <f>IF('53'!$E$17="","",'53'!$E$17)</f>
        <v/>
      </c>
    </row>
    <row r="192" spans="1:14" hidden="1" x14ac:dyDescent="0.3">
      <c r="A192" s="20" t="s">
        <v>350</v>
      </c>
      <c r="B192" s="20" t="s">
        <v>1</v>
      </c>
      <c r="C192" s="20" t="s">
        <v>351</v>
      </c>
      <c r="E192" s="4" t="str">
        <f>IF(C192='53'!$B$18,"TRUE","")</f>
        <v/>
      </c>
      <c r="F192" s="35">
        <v>0</v>
      </c>
      <c r="G192" s="34">
        <v>2</v>
      </c>
      <c r="H192" s="21" t="s">
        <v>18</v>
      </c>
      <c r="I192" s="21"/>
      <c r="J192" s="34">
        <v>53</v>
      </c>
      <c r="K192" s="34">
        <v>11</v>
      </c>
      <c r="L192" t="str">
        <f>IF('53'!$A$25="","",'53'!$A$25)</f>
        <v/>
      </c>
      <c r="M192" t="str">
        <f>IF('53'!$D$25="","",'53'!$D$25)</f>
        <v/>
      </c>
      <c r="N192" t="str">
        <f>IF('53'!$E$17="","",'53'!$E$17)</f>
        <v/>
      </c>
    </row>
    <row r="193" spans="1:14" ht="28.8" hidden="1" x14ac:dyDescent="0.3">
      <c r="A193" s="20" t="s">
        <v>350</v>
      </c>
      <c r="B193" s="20" t="s">
        <v>1</v>
      </c>
      <c r="C193" s="26" t="s">
        <v>133</v>
      </c>
      <c r="E193" s="4" t="str">
        <f>IF(C193='53'!$B$18,"TRUE","")</f>
        <v/>
      </c>
      <c r="F193" s="35">
        <v>0</v>
      </c>
      <c r="G193" s="34">
        <v>2</v>
      </c>
      <c r="H193" s="21" t="s">
        <v>18</v>
      </c>
      <c r="I193" s="21"/>
      <c r="J193" s="34">
        <v>53</v>
      </c>
      <c r="K193" s="34">
        <v>11</v>
      </c>
      <c r="L193" t="str">
        <f>IF('53'!$A$25="","",'53'!$A$25)</f>
        <v/>
      </c>
      <c r="M193" t="str">
        <f>IF('53'!$D$25="","",'53'!$D$25)</f>
        <v/>
      </c>
      <c r="N193" t="str">
        <f>IF('53'!$E$17="","",'53'!$E$17)</f>
        <v/>
      </c>
    </row>
    <row r="194" spans="1:14" hidden="1" x14ac:dyDescent="0.3">
      <c r="A194" s="20" t="s">
        <v>350</v>
      </c>
      <c r="B194" s="20" t="s">
        <v>1</v>
      </c>
      <c r="C194" s="20" t="s">
        <v>22</v>
      </c>
      <c r="E194" s="4" t="str">
        <f>IF(C194='53'!$B$18,"TRUE","")</f>
        <v/>
      </c>
      <c r="F194" s="35">
        <v>0</v>
      </c>
      <c r="G194" s="34">
        <v>2</v>
      </c>
      <c r="H194" s="21" t="s">
        <v>18</v>
      </c>
      <c r="I194" s="21"/>
      <c r="J194" s="34">
        <v>53</v>
      </c>
      <c r="K194" s="34">
        <v>11</v>
      </c>
      <c r="L194" t="str">
        <f>IF('53'!$A$25="","",'53'!$A$25)</f>
        <v/>
      </c>
      <c r="M194" t="str">
        <f>IF('53'!$D$25="","",'53'!$D$25)</f>
        <v/>
      </c>
      <c r="N194" t="str">
        <f>IF('53'!$E$17="","",'53'!$E$17)</f>
        <v/>
      </c>
    </row>
    <row r="195" spans="1:14" hidden="1" x14ac:dyDescent="0.3">
      <c r="A195" s="20" t="s">
        <v>350</v>
      </c>
      <c r="B195" s="20" t="s">
        <v>1</v>
      </c>
      <c r="C195" s="20" t="s">
        <v>352</v>
      </c>
      <c r="E195" s="4" t="str">
        <f>IF(C195='53'!$B$18,"TRUE","")</f>
        <v/>
      </c>
      <c r="F195" s="35">
        <v>0</v>
      </c>
      <c r="G195" s="34">
        <v>2</v>
      </c>
      <c r="H195" s="21" t="s">
        <v>18</v>
      </c>
      <c r="I195" s="21"/>
      <c r="J195" s="34">
        <v>53</v>
      </c>
      <c r="K195" s="34">
        <v>11</v>
      </c>
      <c r="L195" t="str">
        <f>IF('53'!$A$25="","",'53'!$A$25)</f>
        <v/>
      </c>
      <c r="M195" t="str">
        <f>IF('53'!$D$25="","",'53'!$D$25)</f>
        <v/>
      </c>
      <c r="N195" t="str">
        <f>IF('53'!$E$17="","",'53'!$E$17)</f>
        <v/>
      </c>
    </row>
    <row r="196" spans="1:14" hidden="1" x14ac:dyDescent="0.3">
      <c r="A196" s="20" t="s">
        <v>291</v>
      </c>
      <c r="B196" s="20" t="s">
        <v>375</v>
      </c>
      <c r="C196" s="20"/>
      <c r="D196">
        <v>-2</v>
      </c>
      <c r="E196" s="4" t="str">
        <f>IF(B196='55'!$B$2,"TRUE","")</f>
        <v/>
      </c>
      <c r="F196" s="35">
        <v>0</v>
      </c>
      <c r="G196" s="34">
        <v>0</v>
      </c>
      <c r="H196" s="21" t="s">
        <v>16</v>
      </c>
      <c r="I196" s="20"/>
      <c r="J196" s="34">
        <v>55</v>
      </c>
      <c r="K196" s="34">
        <v>13</v>
      </c>
      <c r="L196" t="str">
        <f>IF('55'!$A$17="","",'55'!$A$17)</f>
        <v/>
      </c>
      <c r="M196" t="str">
        <f>IF('55'!$D$17="","",'55'!$D$17)</f>
        <v/>
      </c>
      <c r="N196" t="str">
        <f>IF('55'!$E$2="","",'55'!$E$2)</f>
        <v/>
      </c>
    </row>
    <row r="197" spans="1:14" hidden="1" x14ac:dyDescent="0.3">
      <c r="A197" s="20" t="s">
        <v>291</v>
      </c>
      <c r="B197" s="20" t="s">
        <v>1</v>
      </c>
      <c r="C197" s="25" t="s">
        <v>292</v>
      </c>
      <c r="E197" t="str">
        <f>IF(VLOOKUP(C197,'55'!$A$3:$B$7,2,FALSE)="Yes", "TRUE", "")</f>
        <v/>
      </c>
      <c r="F197" s="35">
        <v>0</v>
      </c>
      <c r="G197" s="34">
        <v>0</v>
      </c>
      <c r="H197" s="21" t="s">
        <v>16</v>
      </c>
      <c r="I197" s="20"/>
      <c r="J197" s="34">
        <v>55</v>
      </c>
      <c r="K197" s="34">
        <v>13</v>
      </c>
      <c r="L197" t="str">
        <f>IF('55'!$A$17="","",'55'!$A$17)</f>
        <v/>
      </c>
      <c r="M197" t="str">
        <f>IF('55'!$D$17="","",'55'!$D$17)</f>
        <v/>
      </c>
      <c r="N197" t="str">
        <f>IF('55'!$E$2="","",'55'!$E$2)</f>
        <v/>
      </c>
    </row>
    <row r="198" spans="1:14" hidden="1" x14ac:dyDescent="0.3">
      <c r="A198" s="20" t="s">
        <v>291</v>
      </c>
      <c r="B198" s="20" t="s">
        <v>1</v>
      </c>
      <c r="C198" s="27" t="s">
        <v>293</v>
      </c>
      <c r="E198" t="str">
        <f>IF(VLOOKUP(C198,'55'!$A$3:$B$7,2,FALSE)="Yes", "TRUE", "")</f>
        <v/>
      </c>
      <c r="F198" s="35">
        <v>0</v>
      </c>
      <c r="G198" s="34">
        <v>0</v>
      </c>
      <c r="H198" s="21" t="s">
        <v>16</v>
      </c>
      <c r="I198" s="20"/>
      <c r="J198" s="34">
        <v>55</v>
      </c>
      <c r="K198" s="34">
        <v>13</v>
      </c>
      <c r="L198" t="str">
        <f>IF('55'!$A$17="","",'55'!$A$17)</f>
        <v/>
      </c>
      <c r="M198" t="str">
        <f>IF('55'!$D$17="","",'55'!$D$17)</f>
        <v/>
      </c>
      <c r="N198" t="str">
        <f>IF('55'!$E$2="","",'55'!$E$2)</f>
        <v/>
      </c>
    </row>
    <row r="199" spans="1:14" hidden="1" x14ac:dyDescent="0.3">
      <c r="A199" s="20" t="s">
        <v>291</v>
      </c>
      <c r="B199" s="20" t="s">
        <v>1</v>
      </c>
      <c r="C199" s="27" t="s">
        <v>294</v>
      </c>
      <c r="E199" t="str">
        <f>IF(VLOOKUP(C199,'55'!$A$3:$B$7,2,FALSE)="Yes", "TRUE", "")</f>
        <v/>
      </c>
      <c r="F199" s="35">
        <v>0</v>
      </c>
      <c r="G199" s="34">
        <v>0</v>
      </c>
      <c r="H199" s="21" t="s">
        <v>16</v>
      </c>
      <c r="I199" s="20"/>
      <c r="J199" s="34">
        <v>55</v>
      </c>
      <c r="K199" s="34">
        <v>13</v>
      </c>
      <c r="L199" t="str">
        <f>IF('55'!$A$17="","",'55'!$A$17)</f>
        <v/>
      </c>
      <c r="M199" t="str">
        <f>IF('55'!$D$17="","",'55'!$D$17)</f>
        <v/>
      </c>
      <c r="N199" t="str">
        <f>IF('55'!$E$2="","",'55'!$E$2)</f>
        <v/>
      </c>
    </row>
    <row r="200" spans="1:14" hidden="1" x14ac:dyDescent="0.3">
      <c r="A200" s="20" t="s">
        <v>291</v>
      </c>
      <c r="B200" s="20" t="s">
        <v>1</v>
      </c>
      <c r="C200" s="27" t="s">
        <v>295</v>
      </c>
      <c r="E200" t="str">
        <f>IF(VLOOKUP(C200,'55'!$A$3:$B$7,2,FALSE)="Yes", "TRUE", "")</f>
        <v/>
      </c>
      <c r="F200" s="35">
        <v>0</v>
      </c>
      <c r="G200" s="34">
        <v>0</v>
      </c>
      <c r="H200" s="21" t="s">
        <v>16</v>
      </c>
      <c r="I200" s="20"/>
      <c r="J200" s="34">
        <v>55</v>
      </c>
      <c r="K200" s="34">
        <v>13</v>
      </c>
      <c r="L200" t="str">
        <f>IF('55'!$A$17="","",'55'!$A$17)</f>
        <v/>
      </c>
      <c r="M200" t="str">
        <f>IF('55'!$D$17="","",'55'!$D$17)</f>
        <v/>
      </c>
      <c r="N200" t="str">
        <f>IF('55'!$E$2="","",'55'!$E$2)</f>
        <v/>
      </c>
    </row>
    <row r="201" spans="1:14" hidden="1" x14ac:dyDescent="0.3">
      <c r="A201" s="57" t="s">
        <v>291</v>
      </c>
      <c r="B201" s="20" t="s">
        <v>1</v>
      </c>
      <c r="C201" s="27" t="s">
        <v>135</v>
      </c>
      <c r="E201" t="str">
        <f>IF(VLOOKUP(C201,'55'!$A$3:$B$7,2,FALSE)="Yes", "TRUE", "")</f>
        <v/>
      </c>
      <c r="F201" s="35">
        <v>0</v>
      </c>
      <c r="G201" s="34">
        <v>0</v>
      </c>
      <c r="H201" s="21" t="s">
        <v>16</v>
      </c>
      <c r="I201" s="20"/>
      <c r="J201" s="34">
        <v>55</v>
      </c>
      <c r="K201" s="34">
        <v>13</v>
      </c>
      <c r="L201" t="str">
        <f>IF('55'!$A$17="","",'55'!$A$17)</f>
        <v/>
      </c>
      <c r="M201" t="str">
        <f>IF('55'!$D$17="","",'55'!$D$17)</f>
        <v/>
      </c>
      <c r="N201" t="str">
        <f>IF('55'!$E$2="","",'55'!$E$2)</f>
        <v/>
      </c>
    </row>
    <row r="202" spans="1:14" hidden="1" x14ac:dyDescent="0.3">
      <c r="A202" s="20" t="s">
        <v>296</v>
      </c>
      <c r="B202" s="20" t="s">
        <v>375</v>
      </c>
      <c r="C202" s="20"/>
      <c r="D202">
        <v>-2</v>
      </c>
      <c r="E202" s="4" t="str">
        <f>IF(B202='55'!$B$8,"TRUE","")</f>
        <v/>
      </c>
      <c r="F202" s="35">
        <v>0</v>
      </c>
      <c r="G202" s="35">
        <v>1</v>
      </c>
      <c r="H202" s="21" t="s">
        <v>16</v>
      </c>
      <c r="I202" s="20"/>
      <c r="J202" s="34">
        <v>55</v>
      </c>
      <c r="K202" s="34">
        <v>13</v>
      </c>
      <c r="L202" t="str">
        <f>IF('55'!$A$17="","",'55'!$A$17)</f>
        <v/>
      </c>
      <c r="M202" t="str">
        <f>IF('55'!$D$17="","",'55'!$D$17)</f>
        <v/>
      </c>
      <c r="N202" t="str">
        <f>IF('55'!$E$8="","",'55'!$E$8)</f>
        <v/>
      </c>
    </row>
    <row r="203" spans="1:14" hidden="1" x14ac:dyDescent="0.3">
      <c r="A203" s="20" t="s">
        <v>296</v>
      </c>
      <c r="B203" s="20" t="s">
        <v>1</v>
      </c>
      <c r="C203" s="25" t="s">
        <v>292</v>
      </c>
      <c r="E203" t="str">
        <f>IF(VLOOKUP(C203,'55'!$A$9:$B$14,2,FALSE)="Yes", "TRUE", "")</f>
        <v/>
      </c>
      <c r="F203" s="35">
        <v>0</v>
      </c>
      <c r="G203" s="35">
        <v>1</v>
      </c>
      <c r="H203" s="21" t="s">
        <v>16</v>
      </c>
      <c r="I203" s="20"/>
      <c r="J203" s="34">
        <v>55</v>
      </c>
      <c r="K203" s="34">
        <v>13</v>
      </c>
      <c r="L203" t="str">
        <f>IF('55'!$A$17="","",'55'!$A$17)</f>
        <v/>
      </c>
      <c r="M203" t="str">
        <f>IF('55'!$D$17="","",'55'!$D$17)</f>
        <v/>
      </c>
      <c r="N203" t="str">
        <f>IF('55'!$E$8="","",'55'!$E$8)</f>
        <v/>
      </c>
    </row>
    <row r="204" spans="1:14" hidden="1" x14ac:dyDescent="0.3">
      <c r="A204" s="20" t="s">
        <v>296</v>
      </c>
      <c r="B204" s="20" t="s">
        <v>1</v>
      </c>
      <c r="C204" s="27" t="s">
        <v>136</v>
      </c>
      <c r="E204" t="str">
        <f>IF(VLOOKUP(C204,'55'!$A$9:$B$14,2,FALSE)="Yes", "TRUE", "")</f>
        <v/>
      </c>
      <c r="F204" s="35">
        <v>0</v>
      </c>
      <c r="G204" s="35">
        <v>1</v>
      </c>
      <c r="H204" s="21" t="s">
        <v>16</v>
      </c>
      <c r="I204" s="20"/>
      <c r="J204" s="34">
        <v>55</v>
      </c>
      <c r="K204" s="34">
        <v>13</v>
      </c>
      <c r="L204" t="str">
        <f>IF('55'!$A$17="","",'55'!$A$17)</f>
        <v/>
      </c>
      <c r="M204" t="str">
        <f>IF('55'!$D$17="","",'55'!$D$17)</f>
        <v/>
      </c>
      <c r="N204" t="str">
        <f>IF('55'!$E$8="","",'55'!$E$8)</f>
        <v/>
      </c>
    </row>
    <row r="205" spans="1:14" hidden="1" x14ac:dyDescent="0.3">
      <c r="A205" s="20" t="s">
        <v>296</v>
      </c>
      <c r="B205" s="20" t="s">
        <v>1</v>
      </c>
      <c r="C205" s="27" t="s">
        <v>297</v>
      </c>
      <c r="E205" t="str">
        <f>IF(VLOOKUP(C205,'55'!$A$9:$B$14,2,FALSE)="Yes", "TRUE", "")</f>
        <v/>
      </c>
      <c r="F205" s="35">
        <v>0</v>
      </c>
      <c r="G205" s="35">
        <v>1</v>
      </c>
      <c r="H205" s="21" t="s">
        <v>16</v>
      </c>
      <c r="I205" s="20"/>
      <c r="J205" s="34">
        <v>55</v>
      </c>
      <c r="K205" s="34">
        <v>13</v>
      </c>
      <c r="L205" t="str">
        <f>IF('55'!$A$17="","",'55'!$A$17)</f>
        <v/>
      </c>
      <c r="M205" t="str">
        <f>IF('55'!$D$17="","",'55'!$D$17)</f>
        <v/>
      </c>
      <c r="N205" t="str">
        <f>IF('55'!$E$8="","",'55'!$E$8)</f>
        <v/>
      </c>
    </row>
    <row r="206" spans="1:14" hidden="1" x14ac:dyDescent="0.3">
      <c r="A206" s="20" t="s">
        <v>296</v>
      </c>
      <c r="B206" s="20" t="s">
        <v>1</v>
      </c>
      <c r="C206" s="27" t="s">
        <v>298</v>
      </c>
      <c r="E206" t="str">
        <f>IF(VLOOKUP(C206,'55'!$A$9:$B$14,2,FALSE)="Yes", "TRUE", "")</f>
        <v/>
      </c>
      <c r="F206" s="35">
        <v>0</v>
      </c>
      <c r="G206" s="35">
        <v>1</v>
      </c>
      <c r="H206" s="21" t="s">
        <v>16</v>
      </c>
      <c r="I206" s="20"/>
      <c r="J206" s="34">
        <v>55</v>
      </c>
      <c r="K206" s="34">
        <v>13</v>
      </c>
      <c r="L206" t="str">
        <f>IF('55'!$A$17="","",'55'!$A$17)</f>
        <v/>
      </c>
      <c r="M206" t="str">
        <f>IF('55'!$D$17="","",'55'!$D$17)</f>
        <v/>
      </c>
      <c r="N206" t="str">
        <f>IF('55'!$E$8="","",'55'!$E$8)</f>
        <v/>
      </c>
    </row>
    <row r="207" spans="1:14" hidden="1" x14ac:dyDescent="0.3">
      <c r="A207" s="20" t="s">
        <v>296</v>
      </c>
      <c r="B207" s="20" t="s">
        <v>1</v>
      </c>
      <c r="C207" s="27" t="s">
        <v>299</v>
      </c>
      <c r="E207" t="str">
        <f>IF(VLOOKUP(C207,'55'!$A$9:$B$14,2,FALSE)="Yes", "TRUE", "")</f>
        <v/>
      </c>
      <c r="F207" s="35">
        <v>0</v>
      </c>
      <c r="G207" s="35">
        <v>1</v>
      </c>
      <c r="H207" s="21" t="s">
        <v>16</v>
      </c>
      <c r="I207" s="20"/>
      <c r="J207" s="34">
        <v>55</v>
      </c>
      <c r="K207" s="34">
        <v>13</v>
      </c>
      <c r="L207" t="str">
        <f>IF('55'!$A$17="","",'55'!$A$17)</f>
        <v/>
      </c>
      <c r="M207" t="str">
        <f>IF('55'!$D$17="","",'55'!$D$17)</f>
        <v/>
      </c>
      <c r="N207" t="str">
        <f>IF('55'!$E$8="","",'55'!$E$8)</f>
        <v/>
      </c>
    </row>
    <row r="208" spans="1:14" hidden="1" x14ac:dyDescent="0.3">
      <c r="A208" s="20" t="s">
        <v>296</v>
      </c>
      <c r="B208" s="20" t="s">
        <v>1</v>
      </c>
      <c r="C208" s="27" t="s">
        <v>137</v>
      </c>
      <c r="E208" t="str">
        <f>IF(VLOOKUP(C208,'55'!$A$9:$B$14,2,FALSE)="Yes", "TRUE", "")</f>
        <v/>
      </c>
      <c r="F208" s="35">
        <v>0</v>
      </c>
      <c r="G208" s="35">
        <v>1</v>
      </c>
      <c r="H208" s="21" t="s">
        <v>16</v>
      </c>
      <c r="I208" s="20"/>
      <c r="J208" s="34">
        <v>55</v>
      </c>
      <c r="K208" s="34">
        <v>13</v>
      </c>
      <c r="L208" t="str">
        <f>IF('55'!$A$17="","",'55'!$A$17)</f>
        <v/>
      </c>
      <c r="M208" t="str">
        <f>IF('55'!$D$17="","",'55'!$D$17)</f>
        <v/>
      </c>
      <c r="N208" t="str">
        <f>IF('55'!$E$8="","",'55'!$E$8)</f>
        <v/>
      </c>
    </row>
    <row r="209" spans="1:14" hidden="1" x14ac:dyDescent="0.3">
      <c r="A209" s="20" t="s">
        <v>300</v>
      </c>
      <c r="B209" s="20" t="s">
        <v>375</v>
      </c>
      <c r="C209" s="20"/>
      <c r="D209">
        <v>-2</v>
      </c>
      <c r="E209" s="4" t="str">
        <f>IF(B209='56'!$B$2,"TRUE","")</f>
        <v/>
      </c>
      <c r="F209" s="35">
        <v>0</v>
      </c>
      <c r="G209" s="34">
        <v>0</v>
      </c>
      <c r="H209" s="21" t="s">
        <v>16</v>
      </c>
      <c r="I209" s="21"/>
      <c r="J209" s="34">
        <v>56</v>
      </c>
      <c r="K209" s="34">
        <v>14</v>
      </c>
      <c r="L209" t="str">
        <f>IF('56'!$A$13="","",'56'!$A$13)</f>
        <v/>
      </c>
      <c r="M209" t="str">
        <f>IF('56'!$D$13="","",'56'!$D$13)</f>
        <v/>
      </c>
      <c r="N209" t="str">
        <f>IF('56'!$E$2="","",'56'!$E$2)</f>
        <v/>
      </c>
    </row>
    <row r="210" spans="1:14" hidden="1" x14ac:dyDescent="0.3">
      <c r="A210" s="20" t="s">
        <v>300</v>
      </c>
      <c r="B210" s="20" t="s">
        <v>1</v>
      </c>
      <c r="C210" s="27" t="s">
        <v>138</v>
      </c>
      <c r="E210" t="str">
        <f>IF(VLOOKUP(C210,'56'!$A$3:$B$6,2,FALSE)="Yes", "TRUE", "")</f>
        <v/>
      </c>
      <c r="F210" s="35">
        <v>0</v>
      </c>
      <c r="G210" s="34">
        <v>0</v>
      </c>
      <c r="H210" s="21" t="s">
        <v>16</v>
      </c>
      <c r="I210" s="21"/>
      <c r="J210" s="34">
        <v>56</v>
      </c>
      <c r="K210" s="34">
        <v>14</v>
      </c>
      <c r="L210" t="str">
        <f>IF('56'!$A$13="","",'56'!$A$13)</f>
        <v/>
      </c>
      <c r="M210" t="str">
        <f>IF('56'!$D$13="","",'56'!$D$13)</f>
        <v/>
      </c>
      <c r="N210" t="str">
        <f>IF('56'!$E$2="","",'56'!$E$2)</f>
        <v/>
      </c>
    </row>
    <row r="211" spans="1:14" hidden="1" x14ac:dyDescent="0.3">
      <c r="A211" s="20" t="s">
        <v>300</v>
      </c>
      <c r="B211" s="20" t="s">
        <v>1</v>
      </c>
      <c r="C211" s="27" t="s">
        <v>139</v>
      </c>
      <c r="E211" t="str">
        <f>IF(VLOOKUP(C211,'56'!$A$3:$B$6,2,FALSE)="Yes", "TRUE", "")</f>
        <v/>
      </c>
      <c r="F211" s="35">
        <v>0</v>
      </c>
      <c r="G211" s="34">
        <v>0</v>
      </c>
      <c r="H211" s="21" t="s">
        <v>16</v>
      </c>
      <c r="I211" s="21"/>
      <c r="J211" s="34">
        <v>56</v>
      </c>
      <c r="K211" s="34">
        <v>14</v>
      </c>
      <c r="L211" t="str">
        <f>IF('56'!$A$13="","",'56'!$A$13)</f>
        <v/>
      </c>
      <c r="M211" t="str">
        <f>IF('56'!$D$13="","",'56'!$D$13)</f>
        <v/>
      </c>
      <c r="N211" t="str">
        <f>IF('56'!$E$2="","",'56'!$E$2)</f>
        <v/>
      </c>
    </row>
    <row r="212" spans="1:14" hidden="1" x14ac:dyDescent="0.3">
      <c r="A212" s="20" t="s">
        <v>300</v>
      </c>
      <c r="B212" s="20" t="s">
        <v>1</v>
      </c>
      <c r="C212" s="27" t="s">
        <v>140</v>
      </c>
      <c r="E212" t="str">
        <f>IF(VLOOKUP(C212,'56'!$A$3:$B$6,2,FALSE)="Yes", "TRUE", "")</f>
        <v/>
      </c>
      <c r="F212" s="35">
        <v>0</v>
      </c>
      <c r="G212" s="34">
        <v>0</v>
      </c>
      <c r="H212" s="21" t="s">
        <v>16</v>
      </c>
      <c r="I212" s="21"/>
      <c r="J212" s="34">
        <v>56</v>
      </c>
      <c r="K212" s="34">
        <v>14</v>
      </c>
      <c r="L212" t="str">
        <f>IF('56'!$A$13="","",'56'!$A$13)</f>
        <v/>
      </c>
      <c r="M212" t="str">
        <f>IF('56'!$D$13="","",'56'!$D$13)</f>
        <v/>
      </c>
      <c r="N212" t="str">
        <f>IF('56'!$E$2="","",'56'!$E$2)</f>
        <v/>
      </c>
    </row>
    <row r="213" spans="1:14" hidden="1" x14ac:dyDescent="0.3">
      <c r="A213" s="20" t="s">
        <v>300</v>
      </c>
      <c r="B213" s="20" t="s">
        <v>1</v>
      </c>
      <c r="C213" s="27" t="s">
        <v>141</v>
      </c>
      <c r="E213" t="str">
        <f>IF(VLOOKUP(C213,'56'!$A$3:$B$6,2,FALSE)="Yes", "TRUE", "")</f>
        <v/>
      </c>
      <c r="F213" s="35">
        <v>0</v>
      </c>
      <c r="G213" s="34">
        <v>0</v>
      </c>
      <c r="H213" s="21" t="s">
        <v>16</v>
      </c>
      <c r="I213" s="21"/>
      <c r="J213" s="34">
        <v>56</v>
      </c>
      <c r="K213" s="34">
        <v>14</v>
      </c>
      <c r="L213" t="str">
        <f>IF('56'!$A$13="","",'56'!$A$13)</f>
        <v/>
      </c>
      <c r="M213" t="str">
        <f>IF('56'!$D$13="","",'56'!$D$13)</f>
        <v/>
      </c>
      <c r="N213" t="str">
        <f>IF('56'!$E$2="","",'56'!$E$2)</f>
        <v/>
      </c>
    </row>
    <row r="214" spans="1:14" hidden="1" x14ac:dyDescent="0.3">
      <c r="A214" s="20" t="s">
        <v>301</v>
      </c>
      <c r="B214" s="20" t="s">
        <v>375</v>
      </c>
      <c r="C214" s="20"/>
      <c r="D214">
        <v>-2</v>
      </c>
      <c r="E214" s="4" t="str">
        <f>IF(B214='56'!$B$7,"TRUE","")</f>
        <v/>
      </c>
      <c r="F214" s="35">
        <v>0</v>
      </c>
      <c r="G214" s="34">
        <v>1</v>
      </c>
      <c r="H214" s="21" t="s">
        <v>16</v>
      </c>
      <c r="I214" s="21"/>
      <c r="J214" s="34">
        <v>56</v>
      </c>
      <c r="K214" s="34">
        <v>14</v>
      </c>
      <c r="L214" t="str">
        <f>IF('56'!$A$13="","",'56'!$A$13)</f>
        <v/>
      </c>
      <c r="M214" t="str">
        <f>IF('56'!$D$13="","",'56'!$D$13)</f>
        <v/>
      </c>
      <c r="N214" t="str">
        <f>IF('56'!$E$7="","",'56'!$E$7)</f>
        <v/>
      </c>
    </row>
    <row r="215" spans="1:14" hidden="1" x14ac:dyDescent="0.3">
      <c r="A215" s="20" t="s">
        <v>301</v>
      </c>
      <c r="B215" s="20" t="s">
        <v>1</v>
      </c>
      <c r="C215" s="27" t="s">
        <v>302</v>
      </c>
      <c r="E215" t="str">
        <f>IF(VLOOKUP(C215,'56'!$A$6:$B$10,2,FALSE)="Yes", "TRUE", "")</f>
        <v/>
      </c>
      <c r="F215" s="35">
        <v>0</v>
      </c>
      <c r="G215" s="34">
        <v>1</v>
      </c>
      <c r="H215" s="21" t="s">
        <v>16</v>
      </c>
      <c r="I215" s="21"/>
      <c r="J215" s="34">
        <v>56</v>
      </c>
      <c r="K215" s="34">
        <v>14</v>
      </c>
      <c r="L215" t="str">
        <f>IF('56'!$A$13="","",'56'!$A$13)</f>
        <v/>
      </c>
      <c r="M215" t="str">
        <f>IF('56'!$D$13="","",'56'!$D$13)</f>
        <v/>
      </c>
      <c r="N215" t="str">
        <f>IF('56'!$E$7="","",'56'!$E$7)</f>
        <v/>
      </c>
    </row>
    <row r="216" spans="1:14" hidden="1" x14ac:dyDescent="0.3">
      <c r="A216" s="20" t="s">
        <v>301</v>
      </c>
      <c r="B216" s="20" t="s">
        <v>1</v>
      </c>
      <c r="C216" s="27" t="s">
        <v>303</v>
      </c>
      <c r="E216" t="str">
        <f>IF(VLOOKUP(C216,'56'!$A$6:$B$10,2,FALSE)="Yes", "TRUE", "")</f>
        <v/>
      </c>
      <c r="F216" s="35">
        <v>0</v>
      </c>
      <c r="G216" s="34">
        <v>1</v>
      </c>
      <c r="H216" s="21" t="s">
        <v>16</v>
      </c>
      <c r="I216" s="21"/>
      <c r="J216" s="34">
        <v>56</v>
      </c>
      <c r="K216" s="34">
        <v>14</v>
      </c>
      <c r="L216" t="str">
        <f>IF('56'!$A$13="","",'56'!$A$13)</f>
        <v/>
      </c>
      <c r="M216" t="str">
        <f>IF('56'!$D$13="","",'56'!$D$13)</f>
        <v/>
      </c>
      <c r="N216" t="str">
        <f>IF('56'!$E$7="","",'56'!$E$7)</f>
        <v/>
      </c>
    </row>
    <row r="217" spans="1:14" hidden="1" x14ac:dyDescent="0.3">
      <c r="A217" s="20" t="s">
        <v>301</v>
      </c>
      <c r="B217" s="20" t="s">
        <v>1</v>
      </c>
      <c r="C217" s="27" t="s">
        <v>304</v>
      </c>
      <c r="E217" t="str">
        <f>IF(VLOOKUP(C217,'56'!$A$6:$B$10,2,FALSE)="Yes", "TRUE", "")</f>
        <v/>
      </c>
      <c r="F217" s="35">
        <v>0</v>
      </c>
      <c r="G217" s="34">
        <v>1</v>
      </c>
      <c r="H217" s="21" t="s">
        <v>16</v>
      </c>
      <c r="I217" s="21"/>
      <c r="J217" s="34">
        <v>56</v>
      </c>
      <c r="K217" s="34">
        <v>14</v>
      </c>
      <c r="L217" t="str">
        <f>IF('56'!$A$13="","",'56'!$A$13)</f>
        <v/>
      </c>
      <c r="M217" t="str">
        <f>IF('56'!$D$13="","",'56'!$D$13)</f>
        <v/>
      </c>
      <c r="N217" t="str">
        <f>IF('56'!$E$7="","",'56'!$E$7)</f>
        <v/>
      </c>
    </row>
    <row r="218" spans="1:14" hidden="1" x14ac:dyDescent="0.3">
      <c r="A218" s="28" t="s">
        <v>305</v>
      </c>
      <c r="B218" s="20" t="s">
        <v>375</v>
      </c>
      <c r="C218" s="29"/>
      <c r="D218">
        <v>-2</v>
      </c>
      <c r="E218" s="4" t="str">
        <f>IF(B218='58'!$B$2,"TRUE","")</f>
        <v/>
      </c>
      <c r="F218" s="35">
        <v>0</v>
      </c>
      <c r="G218" s="35">
        <v>0</v>
      </c>
      <c r="H218" s="21" t="s">
        <v>16</v>
      </c>
      <c r="I218" s="21"/>
      <c r="J218" s="34">
        <v>58</v>
      </c>
      <c r="K218" s="34">
        <v>15</v>
      </c>
      <c r="L218" t="str">
        <f>IF('58'!$A$26="","",'58'!$A$26)</f>
        <v/>
      </c>
      <c r="M218" t="str">
        <f>IF('58'!$D$26="","",'58'!$D$26)</f>
        <v/>
      </c>
      <c r="N218" t="str">
        <f>IF('58'!$E$2="","",'58'!$E$2)</f>
        <v/>
      </c>
    </row>
    <row r="219" spans="1:14" hidden="1" x14ac:dyDescent="0.3">
      <c r="A219" s="28" t="s">
        <v>305</v>
      </c>
      <c r="B219" s="20" t="s">
        <v>1</v>
      </c>
      <c r="C219" s="30" t="s">
        <v>142</v>
      </c>
      <c r="E219" t="str">
        <f>IF(VLOOKUP(C219,'58'!$A$3:$B$14,2,FALSE)="Yes", "TRUE", "")</f>
        <v/>
      </c>
      <c r="F219" s="35">
        <v>0</v>
      </c>
      <c r="G219" s="35">
        <v>0</v>
      </c>
      <c r="H219" s="21" t="s">
        <v>16</v>
      </c>
      <c r="I219" s="21"/>
      <c r="J219" s="34">
        <v>58</v>
      </c>
      <c r="K219" s="34">
        <v>15</v>
      </c>
      <c r="L219" t="str">
        <f>IF('58'!$A$26="","",'58'!$A$26)</f>
        <v/>
      </c>
      <c r="M219" t="str">
        <f>IF('58'!$D$26="","",'58'!$D$26)</f>
        <v/>
      </c>
      <c r="N219" t="str">
        <f>IF('58'!$E$2="","",'58'!$E$2)</f>
        <v/>
      </c>
    </row>
    <row r="220" spans="1:14" hidden="1" x14ac:dyDescent="0.3">
      <c r="A220" s="28" t="s">
        <v>305</v>
      </c>
      <c r="B220" s="20" t="s">
        <v>1</v>
      </c>
      <c r="C220" s="30" t="s">
        <v>143</v>
      </c>
      <c r="E220" t="str">
        <f>IF(VLOOKUP(C220,'58'!$A$3:$B$14,2,FALSE)="Yes", "TRUE", "")</f>
        <v/>
      </c>
      <c r="F220" s="35">
        <v>0</v>
      </c>
      <c r="G220" s="35">
        <v>0</v>
      </c>
      <c r="H220" s="21" t="s">
        <v>16</v>
      </c>
      <c r="I220" s="21"/>
      <c r="J220" s="34">
        <v>58</v>
      </c>
      <c r="K220" s="34">
        <v>15</v>
      </c>
      <c r="L220" t="str">
        <f>IF('58'!$A$26="","",'58'!$A$26)</f>
        <v/>
      </c>
      <c r="M220" t="str">
        <f>IF('58'!$D$26="","",'58'!$D$26)</f>
        <v/>
      </c>
      <c r="N220" t="str">
        <f>IF('58'!$E$2="","",'58'!$E$2)</f>
        <v/>
      </c>
    </row>
    <row r="221" spans="1:14" hidden="1" x14ac:dyDescent="0.3">
      <c r="A221" s="28" t="s">
        <v>305</v>
      </c>
      <c r="B221" s="20" t="s">
        <v>1</v>
      </c>
      <c r="C221" s="30" t="s">
        <v>144</v>
      </c>
      <c r="E221" t="str">
        <f>IF(VLOOKUP(C221,'58'!$A$3:$B$14,2,FALSE)="Yes", "TRUE", "")</f>
        <v/>
      </c>
      <c r="F221" s="35">
        <v>0</v>
      </c>
      <c r="G221" s="35">
        <v>0</v>
      </c>
      <c r="H221" s="21" t="s">
        <v>16</v>
      </c>
      <c r="I221" s="21"/>
      <c r="J221" s="34">
        <v>58</v>
      </c>
      <c r="K221" s="34">
        <v>15</v>
      </c>
      <c r="L221" t="str">
        <f>IF('58'!$A$26="","",'58'!$A$26)</f>
        <v/>
      </c>
      <c r="M221" t="str">
        <f>IF('58'!$D$26="","",'58'!$D$26)</f>
        <v/>
      </c>
      <c r="N221" t="str">
        <f>IF('58'!$E$2="","",'58'!$E$2)</f>
        <v/>
      </c>
    </row>
    <row r="222" spans="1:14" hidden="1" x14ac:dyDescent="0.3">
      <c r="A222" s="28" t="s">
        <v>305</v>
      </c>
      <c r="B222" s="20" t="s">
        <v>1</v>
      </c>
      <c r="C222" s="30" t="s">
        <v>145</v>
      </c>
      <c r="E222" t="str">
        <f>IF(VLOOKUP(C222,'58'!$A$3:$B$14,2,FALSE)="Yes", "TRUE", "")</f>
        <v/>
      </c>
      <c r="F222" s="35">
        <v>0</v>
      </c>
      <c r="G222" s="35">
        <v>0</v>
      </c>
      <c r="H222" s="21" t="s">
        <v>16</v>
      </c>
      <c r="I222" s="21"/>
      <c r="J222" s="34">
        <v>58</v>
      </c>
      <c r="K222" s="34">
        <v>15</v>
      </c>
      <c r="L222" t="str">
        <f>IF('58'!$A$26="","",'58'!$A$26)</f>
        <v/>
      </c>
      <c r="M222" t="str">
        <f>IF('58'!$D$26="","",'58'!$D$26)</f>
        <v/>
      </c>
      <c r="N222" t="str">
        <f>IF('58'!$E$2="","",'58'!$E$2)</f>
        <v/>
      </c>
    </row>
    <row r="223" spans="1:14" hidden="1" x14ac:dyDescent="0.3">
      <c r="A223" s="28" t="s">
        <v>305</v>
      </c>
      <c r="B223" s="20" t="s">
        <v>1</v>
      </c>
      <c r="C223" s="30" t="s">
        <v>146</v>
      </c>
      <c r="E223" t="str">
        <f>IF(VLOOKUP(C223,'58'!$A$3:$B$14,2,FALSE)="Yes", "TRUE", "")</f>
        <v/>
      </c>
      <c r="F223" s="35">
        <v>0</v>
      </c>
      <c r="G223" s="35">
        <v>0</v>
      </c>
      <c r="H223" s="21" t="s">
        <v>16</v>
      </c>
      <c r="I223" s="21"/>
      <c r="J223" s="34">
        <v>58</v>
      </c>
      <c r="K223" s="34">
        <v>15</v>
      </c>
      <c r="L223" t="str">
        <f>IF('58'!$A$26="","",'58'!$A$26)</f>
        <v/>
      </c>
      <c r="M223" t="str">
        <f>IF('58'!$D$26="","",'58'!$D$26)</f>
        <v/>
      </c>
      <c r="N223" t="str">
        <f>IF('58'!$E$2="","",'58'!$E$2)</f>
        <v/>
      </c>
    </row>
    <row r="224" spans="1:14" hidden="1" x14ac:dyDescent="0.3">
      <c r="A224" s="28" t="s">
        <v>305</v>
      </c>
      <c r="B224" s="20" t="s">
        <v>1</v>
      </c>
      <c r="C224" s="30" t="s">
        <v>147</v>
      </c>
      <c r="E224" t="str">
        <f>IF(VLOOKUP(C224,'58'!$A$3:$B$14,2,FALSE)="Yes", "TRUE", "")</f>
        <v/>
      </c>
      <c r="F224" s="35">
        <v>0</v>
      </c>
      <c r="G224" s="35">
        <v>0</v>
      </c>
      <c r="H224" s="21" t="s">
        <v>16</v>
      </c>
      <c r="I224" s="21"/>
      <c r="J224" s="34">
        <v>58</v>
      </c>
      <c r="K224" s="34">
        <v>15</v>
      </c>
      <c r="L224" t="str">
        <f>IF('58'!$A$26="","",'58'!$A$26)</f>
        <v/>
      </c>
      <c r="M224" t="str">
        <f>IF('58'!$D$26="","",'58'!$D$26)</f>
        <v/>
      </c>
      <c r="N224" t="str">
        <f>IF('58'!$E$2="","",'58'!$E$2)</f>
        <v/>
      </c>
    </row>
    <row r="225" spans="1:14" hidden="1" x14ac:dyDescent="0.3">
      <c r="A225" s="28" t="s">
        <v>305</v>
      </c>
      <c r="B225" s="20" t="s">
        <v>1</v>
      </c>
      <c r="C225" s="30" t="s">
        <v>148</v>
      </c>
      <c r="E225" t="str">
        <f>IF(VLOOKUP(C225,'58'!$A$3:$B$14,2,FALSE)="Yes", "TRUE", "")</f>
        <v/>
      </c>
      <c r="F225" s="35">
        <v>0</v>
      </c>
      <c r="G225" s="35">
        <v>0</v>
      </c>
      <c r="H225" s="21" t="s">
        <v>16</v>
      </c>
      <c r="I225" s="21"/>
      <c r="J225" s="34">
        <v>58</v>
      </c>
      <c r="K225" s="34">
        <v>15</v>
      </c>
      <c r="L225" t="str">
        <f>IF('58'!$A$26="","",'58'!$A$26)</f>
        <v/>
      </c>
      <c r="M225" t="str">
        <f>IF('58'!$D$26="","",'58'!$D$26)</f>
        <v/>
      </c>
      <c r="N225" t="str">
        <f>IF('58'!$E$2="","",'58'!$E$2)</f>
        <v/>
      </c>
    </row>
    <row r="226" spans="1:14" hidden="1" x14ac:dyDescent="0.3">
      <c r="A226" s="28" t="s">
        <v>305</v>
      </c>
      <c r="B226" s="20" t="s">
        <v>1</v>
      </c>
      <c r="C226" s="30" t="s">
        <v>149</v>
      </c>
      <c r="E226" t="str">
        <f>IF(VLOOKUP(C226,'58'!$A$3:$B$14,2,FALSE)="Yes", "TRUE", "")</f>
        <v/>
      </c>
      <c r="F226" s="35">
        <v>0</v>
      </c>
      <c r="G226" s="35">
        <v>0</v>
      </c>
      <c r="H226" s="21" t="s">
        <v>16</v>
      </c>
      <c r="I226" s="21"/>
      <c r="J226" s="34">
        <v>58</v>
      </c>
      <c r="K226" s="34">
        <v>15</v>
      </c>
      <c r="L226" t="str">
        <f>IF('58'!$A$26="","",'58'!$A$26)</f>
        <v/>
      </c>
      <c r="M226" t="str">
        <f>IF('58'!$D$26="","",'58'!$D$26)</f>
        <v/>
      </c>
      <c r="N226" t="str">
        <f>IF('58'!$E$2="","",'58'!$E$2)</f>
        <v/>
      </c>
    </row>
    <row r="227" spans="1:14" hidden="1" x14ac:dyDescent="0.3">
      <c r="A227" s="28" t="s">
        <v>305</v>
      </c>
      <c r="B227" s="20" t="s">
        <v>1</v>
      </c>
      <c r="C227" s="30" t="s">
        <v>150</v>
      </c>
      <c r="E227" t="str">
        <f>IF(VLOOKUP(C227,'58'!$A$3:$B$14,2,FALSE)="Yes", "TRUE", "")</f>
        <v/>
      </c>
      <c r="F227" s="35">
        <v>0</v>
      </c>
      <c r="G227" s="35">
        <v>0</v>
      </c>
      <c r="H227" s="21" t="s">
        <v>16</v>
      </c>
      <c r="I227" s="21"/>
      <c r="J227" s="34">
        <v>58</v>
      </c>
      <c r="K227" s="34">
        <v>15</v>
      </c>
      <c r="L227" t="str">
        <f>IF('58'!$A$26="","",'58'!$A$26)</f>
        <v/>
      </c>
      <c r="M227" t="str">
        <f>IF('58'!$D$26="","",'58'!$D$26)</f>
        <v/>
      </c>
      <c r="N227" t="str">
        <f>IF('58'!$E$2="","",'58'!$E$2)</f>
        <v/>
      </c>
    </row>
    <row r="228" spans="1:14" hidden="1" x14ac:dyDescent="0.3">
      <c r="A228" s="28" t="s">
        <v>305</v>
      </c>
      <c r="B228" s="20" t="s">
        <v>1</v>
      </c>
      <c r="C228" s="30" t="s">
        <v>151</v>
      </c>
      <c r="E228" t="str">
        <f>IF(VLOOKUP(C228,'58'!$A$3:$B$14,2,FALSE)="Yes", "TRUE", "")</f>
        <v/>
      </c>
      <c r="F228" s="35">
        <v>0</v>
      </c>
      <c r="G228" s="35">
        <v>0</v>
      </c>
      <c r="H228" s="21" t="s">
        <v>16</v>
      </c>
      <c r="I228" s="21"/>
      <c r="J228" s="34">
        <v>58</v>
      </c>
      <c r="K228" s="34">
        <v>15</v>
      </c>
      <c r="L228" t="str">
        <f>IF('58'!$A$26="","",'58'!$A$26)</f>
        <v/>
      </c>
      <c r="M228" t="str">
        <f>IF('58'!$D$26="","",'58'!$D$26)</f>
        <v/>
      </c>
      <c r="N228" t="str">
        <f>IF('58'!$E$2="","",'58'!$E$2)</f>
        <v/>
      </c>
    </row>
    <row r="229" spans="1:14" hidden="1" x14ac:dyDescent="0.3">
      <c r="A229" s="28" t="s">
        <v>305</v>
      </c>
      <c r="B229" s="20" t="s">
        <v>1</v>
      </c>
      <c r="C229" s="30" t="s">
        <v>152</v>
      </c>
      <c r="E229" t="str">
        <f>IF(VLOOKUP(C229,'58'!$A$3:$B$14,2,FALSE)="Yes", "TRUE", "")</f>
        <v/>
      </c>
      <c r="F229" s="35">
        <v>0</v>
      </c>
      <c r="G229" s="35">
        <v>0</v>
      </c>
      <c r="H229" s="21" t="s">
        <v>16</v>
      </c>
      <c r="I229" s="21"/>
      <c r="J229" s="34">
        <v>58</v>
      </c>
      <c r="K229" s="34">
        <v>15</v>
      </c>
      <c r="L229" t="str">
        <f>IF('58'!$A$26="","",'58'!$A$26)</f>
        <v/>
      </c>
      <c r="M229" t="str">
        <f>IF('58'!$D$26="","",'58'!$D$26)</f>
        <v/>
      </c>
      <c r="N229" t="str">
        <f>IF('58'!$E$2="","",'58'!$E$2)</f>
        <v/>
      </c>
    </row>
    <row r="230" spans="1:14" hidden="1" x14ac:dyDescent="0.3">
      <c r="A230" s="28" t="s">
        <v>305</v>
      </c>
      <c r="B230" s="20" t="s">
        <v>1</v>
      </c>
      <c r="C230" s="30" t="s">
        <v>153</v>
      </c>
      <c r="E230" t="str">
        <f>IF(VLOOKUP(C230,'58'!$A$3:$B$14,2,FALSE)="Yes", "TRUE", "")</f>
        <v/>
      </c>
      <c r="F230" s="35">
        <v>0</v>
      </c>
      <c r="G230" s="35">
        <v>0</v>
      </c>
      <c r="H230" s="21" t="s">
        <v>16</v>
      </c>
      <c r="I230" s="21"/>
      <c r="J230" s="34">
        <v>58</v>
      </c>
      <c r="K230" s="34">
        <v>15</v>
      </c>
      <c r="L230" t="str">
        <f>IF('58'!$A$26="","",'58'!$A$26)</f>
        <v/>
      </c>
      <c r="M230" t="str">
        <f>IF('58'!$D$26="","",'58'!$D$26)</f>
        <v/>
      </c>
      <c r="N230" t="str">
        <f>IF('58'!$E$2="","",'58'!$E$2)</f>
        <v/>
      </c>
    </row>
    <row r="231" spans="1:14" hidden="1" x14ac:dyDescent="0.3">
      <c r="A231" s="28" t="s">
        <v>306</v>
      </c>
      <c r="B231" s="20" t="s">
        <v>375</v>
      </c>
      <c r="C231" s="29"/>
      <c r="D231">
        <v>-2</v>
      </c>
      <c r="E231" s="4" t="str">
        <f>IF(B231='58'!$B$15,"TRUE","")</f>
        <v/>
      </c>
      <c r="F231" s="35">
        <v>0</v>
      </c>
      <c r="G231" s="34">
        <v>1</v>
      </c>
      <c r="H231" s="21" t="s">
        <v>16</v>
      </c>
      <c r="I231" s="21"/>
      <c r="J231" s="34">
        <v>58</v>
      </c>
      <c r="K231" s="34">
        <v>15</v>
      </c>
      <c r="L231" t="str">
        <f>IF('58'!$A$26="","",'58'!$A$26)</f>
        <v/>
      </c>
      <c r="M231" t="str">
        <f>IF('58'!$D$26="","",'58'!$D$26)</f>
        <v/>
      </c>
      <c r="N231" t="str">
        <f>IF('58'!$E$15="","",'58'!$E$15)</f>
        <v/>
      </c>
    </row>
    <row r="232" spans="1:14" hidden="1" x14ac:dyDescent="0.3">
      <c r="A232" s="28" t="s">
        <v>306</v>
      </c>
      <c r="B232" s="20" t="s">
        <v>1</v>
      </c>
      <c r="C232" s="30" t="s">
        <v>154</v>
      </c>
      <c r="E232" t="str">
        <f>IF(VLOOKUP(C232,'58'!$A$16:$B$23,2,FALSE)="Yes", "TRUE", "")</f>
        <v/>
      </c>
      <c r="F232" s="35">
        <v>0</v>
      </c>
      <c r="G232" s="34">
        <v>1</v>
      </c>
      <c r="H232" s="21" t="s">
        <v>16</v>
      </c>
      <c r="I232" s="21"/>
      <c r="J232" s="34">
        <v>58</v>
      </c>
      <c r="K232" s="34">
        <v>15</v>
      </c>
      <c r="L232" t="str">
        <f>IF('58'!$A$26="","",'58'!$A$26)</f>
        <v/>
      </c>
      <c r="M232" t="str">
        <f>IF('58'!$D$26="","",'58'!$D$26)</f>
        <v/>
      </c>
      <c r="N232" t="str">
        <f>IF('58'!$E$15="","",'58'!$E$15)</f>
        <v/>
      </c>
    </row>
    <row r="233" spans="1:14" hidden="1" x14ac:dyDescent="0.3">
      <c r="A233" s="28" t="s">
        <v>306</v>
      </c>
      <c r="B233" s="20" t="s">
        <v>1</v>
      </c>
      <c r="C233" s="30" t="s">
        <v>155</v>
      </c>
      <c r="E233" t="str">
        <f>IF(VLOOKUP(C233,'58'!$A$16:$B$23,2,FALSE)="Yes", "TRUE", "")</f>
        <v/>
      </c>
      <c r="F233" s="35">
        <v>0</v>
      </c>
      <c r="G233" s="34">
        <v>1</v>
      </c>
      <c r="H233" s="21" t="s">
        <v>16</v>
      </c>
      <c r="I233" s="21"/>
      <c r="J233" s="34">
        <v>58</v>
      </c>
      <c r="K233" s="34">
        <v>15</v>
      </c>
      <c r="L233" t="str">
        <f>IF('58'!$A$26="","",'58'!$A$26)</f>
        <v/>
      </c>
      <c r="M233" t="str">
        <f>IF('58'!$D$26="","",'58'!$D$26)</f>
        <v/>
      </c>
      <c r="N233" t="str">
        <f>IF('58'!$E$15="","",'58'!$E$15)</f>
        <v/>
      </c>
    </row>
    <row r="234" spans="1:14" hidden="1" x14ac:dyDescent="0.3">
      <c r="A234" s="28" t="s">
        <v>306</v>
      </c>
      <c r="B234" s="20" t="s">
        <v>1</v>
      </c>
      <c r="C234" s="30" t="s">
        <v>156</v>
      </c>
      <c r="E234" t="str">
        <f>IF(VLOOKUP(C234,'58'!$A$16:$B$23,2,FALSE)="Yes", "TRUE", "")</f>
        <v/>
      </c>
      <c r="F234" s="35">
        <v>0</v>
      </c>
      <c r="G234" s="34">
        <v>1</v>
      </c>
      <c r="H234" s="21" t="s">
        <v>16</v>
      </c>
      <c r="I234" s="21"/>
      <c r="J234" s="34">
        <v>58</v>
      </c>
      <c r="K234" s="34">
        <v>15</v>
      </c>
      <c r="L234" t="str">
        <f>IF('58'!$A$26="","",'58'!$A$26)</f>
        <v/>
      </c>
      <c r="M234" t="str">
        <f>IF('58'!$D$26="","",'58'!$D$26)</f>
        <v/>
      </c>
      <c r="N234" t="str">
        <f>IF('58'!$E$15="","",'58'!$E$15)</f>
        <v/>
      </c>
    </row>
    <row r="235" spans="1:14" hidden="1" x14ac:dyDescent="0.3">
      <c r="A235" s="28" t="s">
        <v>306</v>
      </c>
      <c r="B235" s="20" t="s">
        <v>1</v>
      </c>
      <c r="C235" s="30" t="s">
        <v>157</v>
      </c>
      <c r="E235" t="str">
        <f>IF(VLOOKUP(C235,'58'!$A$16:$B$23,2,FALSE)="Yes", "TRUE", "")</f>
        <v/>
      </c>
      <c r="F235" s="35">
        <v>0</v>
      </c>
      <c r="G235" s="34">
        <v>1</v>
      </c>
      <c r="H235" s="21" t="s">
        <v>16</v>
      </c>
      <c r="I235" s="21"/>
      <c r="J235" s="34">
        <v>58</v>
      </c>
      <c r="K235" s="34">
        <v>15</v>
      </c>
      <c r="L235" t="str">
        <f>IF('58'!$A$26="","",'58'!$A$26)</f>
        <v/>
      </c>
      <c r="M235" t="str">
        <f>IF('58'!$D$26="","",'58'!$D$26)</f>
        <v/>
      </c>
      <c r="N235" t="str">
        <f>IF('58'!$E$15="","",'58'!$E$15)</f>
        <v/>
      </c>
    </row>
    <row r="236" spans="1:14" hidden="1" x14ac:dyDescent="0.3">
      <c r="A236" s="28" t="s">
        <v>306</v>
      </c>
      <c r="B236" s="20" t="s">
        <v>1</v>
      </c>
      <c r="C236" s="58" t="s">
        <v>307</v>
      </c>
      <c r="E236" t="str">
        <f>IF(VLOOKUP(C236,'58'!$A$16:$B$23,2,FALSE)="Yes", "TRUE", "")</f>
        <v/>
      </c>
      <c r="F236" s="35">
        <v>0</v>
      </c>
      <c r="G236" s="34">
        <v>1</v>
      </c>
      <c r="H236" s="21" t="s">
        <v>16</v>
      </c>
      <c r="I236" s="21"/>
      <c r="J236" s="34">
        <v>58</v>
      </c>
      <c r="K236" s="34">
        <v>15</v>
      </c>
      <c r="L236" t="str">
        <f>IF('58'!$A$26="","",'58'!$A$26)</f>
        <v/>
      </c>
      <c r="M236" t="str">
        <f>IF('58'!$D$26="","",'58'!$D$26)</f>
        <v/>
      </c>
      <c r="N236" t="str">
        <f>IF('58'!$E$15="","",'58'!$E$15)</f>
        <v/>
      </c>
    </row>
    <row r="237" spans="1:14" hidden="1" x14ac:dyDescent="0.3">
      <c r="A237" s="28" t="s">
        <v>306</v>
      </c>
      <c r="B237" s="20" t="s">
        <v>1</v>
      </c>
      <c r="C237" s="30" t="s">
        <v>158</v>
      </c>
      <c r="E237" t="str">
        <f>IF(VLOOKUP(C237,'58'!$A$16:$B$23,2,FALSE)="Yes", "TRUE", "")</f>
        <v/>
      </c>
      <c r="F237" s="35">
        <v>0</v>
      </c>
      <c r="G237" s="34">
        <v>1</v>
      </c>
      <c r="H237" s="21" t="s">
        <v>16</v>
      </c>
      <c r="I237" s="21"/>
      <c r="J237" s="34">
        <v>58</v>
      </c>
      <c r="K237" s="34">
        <v>15</v>
      </c>
      <c r="L237" t="str">
        <f>IF('58'!$A$26="","",'58'!$A$26)</f>
        <v/>
      </c>
      <c r="M237" t="str">
        <f>IF('58'!$D$26="","",'58'!$D$26)</f>
        <v/>
      </c>
      <c r="N237" t="str">
        <f>IF('58'!$E$15="","",'58'!$E$15)</f>
        <v/>
      </c>
    </row>
    <row r="238" spans="1:14" hidden="1" x14ac:dyDescent="0.3">
      <c r="A238" s="28" t="s">
        <v>306</v>
      </c>
      <c r="B238" s="20" t="s">
        <v>1</v>
      </c>
      <c r="C238" s="30" t="s">
        <v>159</v>
      </c>
      <c r="E238" t="str">
        <f>IF(VLOOKUP(C238,'58'!$A$16:$B$23,2,FALSE)="Yes", "TRUE", "")</f>
        <v/>
      </c>
      <c r="F238" s="35">
        <v>0</v>
      </c>
      <c r="G238" s="34">
        <v>1</v>
      </c>
      <c r="H238" s="21" t="s">
        <v>16</v>
      </c>
      <c r="I238" s="21"/>
      <c r="J238" s="34">
        <v>58</v>
      </c>
      <c r="K238" s="34">
        <v>15</v>
      </c>
      <c r="L238" t="str">
        <f>IF('58'!$A$26="","",'58'!$A$26)</f>
        <v/>
      </c>
      <c r="M238" t="str">
        <f>IF('58'!$D$26="","",'58'!$D$26)</f>
        <v/>
      </c>
      <c r="N238" t="str">
        <f>IF('58'!$E$15="","",'58'!$E$15)</f>
        <v/>
      </c>
    </row>
    <row r="239" spans="1:14" hidden="1" x14ac:dyDescent="0.3">
      <c r="A239" s="28" t="s">
        <v>306</v>
      </c>
      <c r="B239" s="20" t="s">
        <v>1</v>
      </c>
      <c r="C239" s="30" t="s">
        <v>153</v>
      </c>
      <c r="E239" t="str">
        <f>IF(VLOOKUP(C239,'58'!$A$16:$B$23,2,FALSE)="Yes", "TRUE", "")</f>
        <v/>
      </c>
      <c r="F239" s="35">
        <v>0</v>
      </c>
      <c r="G239" s="34">
        <v>1</v>
      </c>
      <c r="H239" s="21" t="s">
        <v>16</v>
      </c>
      <c r="I239" s="21"/>
      <c r="J239" s="34">
        <v>58</v>
      </c>
      <c r="K239" s="34">
        <v>15</v>
      </c>
      <c r="L239" t="str">
        <f>IF('58'!$A$26="","",'58'!$A$26)</f>
        <v/>
      </c>
      <c r="M239" t="str">
        <f>IF('58'!$D$26="","",'58'!$D$26)</f>
        <v/>
      </c>
      <c r="N239" t="str">
        <f>IF('58'!$E$15="","",'58'!$E$15)</f>
        <v/>
      </c>
    </row>
    <row r="240" spans="1:14" hidden="1" x14ac:dyDescent="0.3">
      <c r="A240" s="28" t="s">
        <v>308</v>
      </c>
      <c r="B240" s="20" t="s">
        <v>375</v>
      </c>
      <c r="D240">
        <v>-2</v>
      </c>
      <c r="E240" s="4" t="str">
        <f>IF(B240='59'!$B$2,"TRUE","")</f>
        <v/>
      </c>
      <c r="F240" s="35">
        <v>0</v>
      </c>
      <c r="G240" s="35">
        <v>0</v>
      </c>
      <c r="H240" s="21" t="s">
        <v>16</v>
      </c>
      <c r="I240" s="21"/>
      <c r="J240" s="34">
        <v>59</v>
      </c>
      <c r="K240" s="34">
        <v>16</v>
      </c>
      <c r="L240" t="str">
        <f>IF('59'!$A$32="","",'59'!$A$32)</f>
        <v/>
      </c>
      <c r="M240" t="str">
        <f>IF('59'!$D$32="","",'59'!$D$32)</f>
        <v/>
      </c>
      <c r="N240" t="str">
        <f>IF('59'!$E$2="","",'59'!$E$2)</f>
        <v/>
      </c>
    </row>
    <row r="241" spans="1:14" hidden="1" x14ac:dyDescent="0.3">
      <c r="A241" s="28" t="s">
        <v>308</v>
      </c>
      <c r="B241" s="20" t="s">
        <v>1</v>
      </c>
      <c r="C241" s="31" t="s">
        <v>142</v>
      </c>
      <c r="E241" t="str">
        <f>IF(VLOOKUP(C241,'59'!$A$3:$B$14,2,FALSE)="Yes", "TRUE", "")</f>
        <v/>
      </c>
      <c r="F241" s="35">
        <v>0</v>
      </c>
      <c r="G241" s="35">
        <v>0</v>
      </c>
      <c r="H241" s="21" t="s">
        <v>16</v>
      </c>
      <c r="I241" s="21"/>
      <c r="J241" s="34">
        <v>59</v>
      </c>
      <c r="K241" s="34">
        <v>16</v>
      </c>
      <c r="L241" t="str">
        <f>IF('59'!$A$32="","",'59'!$A$32)</f>
        <v/>
      </c>
      <c r="M241" t="str">
        <f>IF('59'!$D$32="","",'59'!$D$32)</f>
        <v/>
      </c>
      <c r="N241" t="str">
        <f>IF('59'!$E$2="","",'59'!$E$2)</f>
        <v/>
      </c>
    </row>
    <row r="242" spans="1:14" hidden="1" x14ac:dyDescent="0.3">
      <c r="A242" s="28" t="s">
        <v>308</v>
      </c>
      <c r="B242" s="20" t="s">
        <v>1</v>
      </c>
      <c r="C242" s="32" t="s">
        <v>143</v>
      </c>
      <c r="E242" t="str">
        <f>IF(VLOOKUP(C242,'59'!$A$3:$B$14,2,FALSE)="Yes", "TRUE", "")</f>
        <v/>
      </c>
      <c r="F242" s="35">
        <v>0</v>
      </c>
      <c r="G242" s="35">
        <v>0</v>
      </c>
      <c r="H242" s="21" t="s">
        <v>16</v>
      </c>
      <c r="I242" s="21"/>
      <c r="J242" s="34">
        <v>59</v>
      </c>
      <c r="K242" s="34">
        <v>16</v>
      </c>
      <c r="L242" t="str">
        <f>IF('59'!$A$32="","",'59'!$A$32)</f>
        <v/>
      </c>
      <c r="M242" t="str">
        <f>IF('59'!$D$32="","",'59'!$D$32)</f>
        <v/>
      </c>
      <c r="N242" t="str">
        <f>IF('59'!$E$2="","",'59'!$E$2)</f>
        <v/>
      </c>
    </row>
    <row r="243" spans="1:14" hidden="1" x14ac:dyDescent="0.3">
      <c r="A243" s="28" t="s">
        <v>308</v>
      </c>
      <c r="B243" s="20" t="s">
        <v>1</v>
      </c>
      <c r="C243" s="31" t="s">
        <v>144</v>
      </c>
      <c r="E243" t="str">
        <f>IF(VLOOKUP(C243,'59'!$A$3:$B$14,2,FALSE)="Yes", "TRUE", "")</f>
        <v/>
      </c>
      <c r="F243" s="35">
        <v>0</v>
      </c>
      <c r="G243" s="35">
        <v>0</v>
      </c>
      <c r="H243" s="21" t="s">
        <v>16</v>
      </c>
      <c r="I243" s="21"/>
      <c r="J243" s="34">
        <v>59</v>
      </c>
      <c r="K243" s="34">
        <v>16</v>
      </c>
      <c r="L243" t="str">
        <f>IF('59'!$A$32="","",'59'!$A$32)</f>
        <v/>
      </c>
      <c r="M243" t="str">
        <f>IF('59'!$D$32="","",'59'!$D$32)</f>
        <v/>
      </c>
      <c r="N243" t="str">
        <f>IF('59'!$E$2="","",'59'!$E$2)</f>
        <v/>
      </c>
    </row>
    <row r="244" spans="1:14" hidden="1" x14ac:dyDescent="0.3">
      <c r="A244" s="28" t="s">
        <v>308</v>
      </c>
      <c r="B244" s="20" t="s">
        <v>1</v>
      </c>
      <c r="C244" s="31" t="s">
        <v>145</v>
      </c>
      <c r="E244" t="str">
        <f>IF(VLOOKUP(C244,'59'!$A$3:$B$14,2,FALSE)="Yes", "TRUE", "")</f>
        <v/>
      </c>
      <c r="F244" s="35">
        <v>0</v>
      </c>
      <c r="G244" s="35">
        <v>0</v>
      </c>
      <c r="H244" s="21" t="s">
        <v>16</v>
      </c>
      <c r="I244" s="21"/>
      <c r="J244" s="34">
        <v>59</v>
      </c>
      <c r="K244" s="34">
        <v>16</v>
      </c>
      <c r="L244" t="str">
        <f>IF('59'!$A$32="","",'59'!$A$32)</f>
        <v/>
      </c>
      <c r="M244" t="str">
        <f>IF('59'!$D$32="","",'59'!$D$32)</f>
        <v/>
      </c>
      <c r="N244" t="str">
        <f>IF('59'!$E$2="","",'59'!$E$2)</f>
        <v/>
      </c>
    </row>
    <row r="245" spans="1:14" hidden="1" x14ac:dyDescent="0.3">
      <c r="A245" s="28" t="s">
        <v>308</v>
      </c>
      <c r="B245" s="20" t="s">
        <v>1</v>
      </c>
      <c r="C245" s="31" t="s">
        <v>146</v>
      </c>
      <c r="E245" t="str">
        <f>IF(VLOOKUP(C245,'59'!$A$3:$B$14,2,FALSE)="Yes", "TRUE", "")</f>
        <v/>
      </c>
      <c r="F245" s="35">
        <v>0</v>
      </c>
      <c r="G245" s="35">
        <v>0</v>
      </c>
      <c r="H245" s="21" t="s">
        <v>16</v>
      </c>
      <c r="I245" s="21"/>
      <c r="J245" s="34">
        <v>59</v>
      </c>
      <c r="K245" s="34">
        <v>16</v>
      </c>
      <c r="L245" t="str">
        <f>IF('59'!$A$32="","",'59'!$A$32)</f>
        <v/>
      </c>
      <c r="M245" t="str">
        <f>IF('59'!$D$32="","",'59'!$D$32)</f>
        <v/>
      </c>
      <c r="N245" t="str">
        <f>IF('59'!$E$2="","",'59'!$E$2)</f>
        <v/>
      </c>
    </row>
    <row r="246" spans="1:14" hidden="1" x14ac:dyDescent="0.3">
      <c r="A246" s="28" t="s">
        <v>308</v>
      </c>
      <c r="B246" s="20" t="s">
        <v>1</v>
      </c>
      <c r="C246" s="31" t="s">
        <v>147</v>
      </c>
      <c r="E246" t="str">
        <f>IF(VLOOKUP(C246,'59'!$A$3:$B$14,2,FALSE)="Yes", "TRUE", "")</f>
        <v/>
      </c>
      <c r="F246" s="35">
        <v>0</v>
      </c>
      <c r="G246" s="35">
        <v>0</v>
      </c>
      <c r="H246" s="21" t="s">
        <v>16</v>
      </c>
      <c r="I246" s="21"/>
      <c r="J246" s="34">
        <v>59</v>
      </c>
      <c r="K246" s="34">
        <v>16</v>
      </c>
      <c r="L246" t="str">
        <f>IF('59'!$A$32="","",'59'!$A$32)</f>
        <v/>
      </c>
      <c r="M246" t="str">
        <f>IF('59'!$D$32="","",'59'!$D$32)</f>
        <v/>
      </c>
      <c r="N246" t="str">
        <f>IF('59'!$E$2="","",'59'!$E$2)</f>
        <v/>
      </c>
    </row>
    <row r="247" spans="1:14" hidden="1" x14ac:dyDescent="0.3">
      <c r="A247" s="28" t="s">
        <v>308</v>
      </c>
      <c r="B247" s="20" t="s">
        <v>1</v>
      </c>
      <c r="C247" s="31" t="s">
        <v>148</v>
      </c>
      <c r="E247" t="str">
        <f>IF(VLOOKUP(C247,'59'!$A$3:$B$14,2,FALSE)="Yes", "TRUE", "")</f>
        <v/>
      </c>
      <c r="F247" s="35">
        <v>0</v>
      </c>
      <c r="G247" s="35">
        <v>0</v>
      </c>
      <c r="H247" s="21" t="s">
        <v>16</v>
      </c>
      <c r="I247" s="21"/>
      <c r="J247" s="34">
        <v>59</v>
      </c>
      <c r="K247" s="34">
        <v>16</v>
      </c>
      <c r="L247" t="str">
        <f>IF('59'!$A$32="","",'59'!$A$32)</f>
        <v/>
      </c>
      <c r="M247" t="str">
        <f>IF('59'!$D$32="","",'59'!$D$32)</f>
        <v/>
      </c>
      <c r="N247" t="str">
        <f>IF('59'!$E$2="","",'59'!$E$2)</f>
        <v/>
      </c>
    </row>
    <row r="248" spans="1:14" hidden="1" x14ac:dyDescent="0.3">
      <c r="A248" s="28" t="s">
        <v>308</v>
      </c>
      <c r="B248" s="20" t="s">
        <v>1</v>
      </c>
      <c r="C248" s="32" t="s">
        <v>149</v>
      </c>
      <c r="E248" t="str">
        <f>IF(VLOOKUP(C248,'59'!$A$3:$B$14,2,FALSE)="Yes", "TRUE", "")</f>
        <v/>
      </c>
      <c r="F248" s="35">
        <v>0</v>
      </c>
      <c r="G248" s="35">
        <v>0</v>
      </c>
      <c r="H248" s="21" t="s">
        <v>16</v>
      </c>
      <c r="I248" s="21"/>
      <c r="J248" s="34">
        <v>59</v>
      </c>
      <c r="K248" s="34">
        <v>16</v>
      </c>
      <c r="L248" t="str">
        <f>IF('59'!$A$32="","",'59'!$A$32)</f>
        <v/>
      </c>
      <c r="M248" t="str">
        <f>IF('59'!$D$32="","",'59'!$D$32)</f>
        <v/>
      </c>
      <c r="N248" t="str">
        <f>IF('59'!$E$2="","",'59'!$E$2)</f>
        <v/>
      </c>
    </row>
    <row r="249" spans="1:14" hidden="1" x14ac:dyDescent="0.3">
      <c r="A249" s="28" t="s">
        <v>308</v>
      </c>
      <c r="B249" s="20" t="s">
        <v>1</v>
      </c>
      <c r="C249" s="31" t="s">
        <v>150</v>
      </c>
      <c r="E249" t="str">
        <f>IF(VLOOKUP(C249,'59'!$A$3:$B$14,2,FALSE)="Yes", "TRUE", "")</f>
        <v/>
      </c>
      <c r="F249" s="35">
        <v>0</v>
      </c>
      <c r="G249" s="35">
        <v>0</v>
      </c>
      <c r="H249" s="21" t="s">
        <v>16</v>
      </c>
      <c r="I249" s="21"/>
      <c r="J249" s="34">
        <v>59</v>
      </c>
      <c r="K249" s="34">
        <v>16</v>
      </c>
      <c r="L249" t="str">
        <f>IF('59'!$A$32="","",'59'!$A$32)</f>
        <v/>
      </c>
      <c r="M249" t="str">
        <f>IF('59'!$D$32="","",'59'!$D$32)</f>
        <v/>
      </c>
      <c r="N249" t="str">
        <f>IF('59'!$E$2="","",'59'!$E$2)</f>
        <v/>
      </c>
    </row>
    <row r="250" spans="1:14" hidden="1" x14ac:dyDescent="0.3">
      <c r="A250" s="28" t="s">
        <v>308</v>
      </c>
      <c r="B250" s="20" t="s">
        <v>1</v>
      </c>
      <c r="C250" s="31" t="s">
        <v>151</v>
      </c>
      <c r="E250" t="str">
        <f>IF(VLOOKUP(C250,'59'!$A$3:$B$14,2,FALSE)="Yes", "TRUE", "")</f>
        <v/>
      </c>
      <c r="F250" s="35">
        <v>0</v>
      </c>
      <c r="G250" s="35">
        <v>0</v>
      </c>
      <c r="H250" s="21" t="s">
        <v>16</v>
      </c>
      <c r="I250" s="21"/>
      <c r="J250" s="34">
        <v>59</v>
      </c>
      <c r="K250" s="34">
        <v>16</v>
      </c>
      <c r="L250" t="str">
        <f>IF('59'!$A$32="","",'59'!$A$32)</f>
        <v/>
      </c>
      <c r="M250" t="str">
        <f>IF('59'!$D$32="","",'59'!$D$32)</f>
        <v/>
      </c>
      <c r="N250" t="str">
        <f>IF('59'!$E$2="","",'59'!$E$2)</f>
        <v/>
      </c>
    </row>
    <row r="251" spans="1:14" hidden="1" x14ac:dyDescent="0.3">
      <c r="A251" s="28" t="s">
        <v>308</v>
      </c>
      <c r="B251" s="20" t="s">
        <v>1</v>
      </c>
      <c r="C251" s="31" t="s">
        <v>152</v>
      </c>
      <c r="E251" t="str">
        <f>IF(VLOOKUP(C251,'59'!$A$3:$B$14,2,FALSE)="Yes", "TRUE", "")</f>
        <v/>
      </c>
      <c r="F251" s="35">
        <v>0</v>
      </c>
      <c r="G251" s="35">
        <v>0</v>
      </c>
      <c r="H251" s="21" t="s">
        <v>16</v>
      </c>
      <c r="I251" s="21"/>
      <c r="J251" s="34">
        <v>59</v>
      </c>
      <c r="K251" s="34">
        <v>16</v>
      </c>
      <c r="L251" t="str">
        <f>IF('59'!$A$32="","",'59'!$A$32)</f>
        <v/>
      </c>
      <c r="M251" t="str">
        <f>IF('59'!$D$32="","",'59'!$D$32)</f>
        <v/>
      </c>
      <c r="N251" t="str">
        <f>IF('59'!$E$2="","",'59'!$E$2)</f>
        <v/>
      </c>
    </row>
    <row r="252" spans="1:14" hidden="1" x14ac:dyDescent="0.3">
      <c r="A252" s="28" t="s">
        <v>308</v>
      </c>
      <c r="B252" s="20" t="s">
        <v>1</v>
      </c>
      <c r="C252" s="31" t="s">
        <v>153</v>
      </c>
      <c r="E252" t="str">
        <f>IF(VLOOKUP(C252,'59'!$A$3:$B$14,2,FALSE)="Yes", "TRUE", "")</f>
        <v/>
      </c>
      <c r="F252" s="35">
        <v>0</v>
      </c>
      <c r="G252" s="35">
        <v>0</v>
      </c>
      <c r="H252" s="21" t="s">
        <v>16</v>
      </c>
      <c r="I252" s="21"/>
      <c r="J252" s="34">
        <v>59</v>
      </c>
      <c r="K252" s="34">
        <v>16</v>
      </c>
      <c r="L252" t="str">
        <f>IF('59'!$A$32="","",'59'!$A$32)</f>
        <v/>
      </c>
      <c r="M252" t="str">
        <f>IF('59'!$D$32="","",'59'!$D$32)</f>
        <v/>
      </c>
      <c r="N252" t="str">
        <f>IF('59'!$E$2="","",'59'!$E$2)</f>
        <v/>
      </c>
    </row>
    <row r="253" spans="1:14" hidden="1" x14ac:dyDescent="0.3">
      <c r="A253" s="28" t="s">
        <v>309</v>
      </c>
      <c r="B253" s="20" t="s">
        <v>375</v>
      </c>
      <c r="D253">
        <v>-2</v>
      </c>
      <c r="E253" s="4" t="str">
        <f>IF(B253='59'!$B$15,"TRUE","")</f>
        <v/>
      </c>
      <c r="F253" s="35">
        <v>0</v>
      </c>
      <c r="G253" s="34">
        <v>1</v>
      </c>
      <c r="H253" s="21" t="s">
        <v>16</v>
      </c>
      <c r="I253" s="21"/>
      <c r="J253" s="34">
        <v>59</v>
      </c>
      <c r="K253" s="34">
        <v>16</v>
      </c>
      <c r="L253" t="str">
        <f>IF('59'!$A$32="","",'59'!$A$32)</f>
        <v/>
      </c>
      <c r="M253" t="str">
        <f>IF('59'!$D$32="","",'59'!$D$32)</f>
        <v/>
      </c>
      <c r="N253" t="str">
        <f>IF('59'!$E$15="","",'59'!$E$15)</f>
        <v/>
      </c>
    </row>
    <row r="254" spans="1:14" hidden="1" x14ac:dyDescent="0.3">
      <c r="A254" s="28" t="s">
        <v>309</v>
      </c>
      <c r="B254" s="20" t="s">
        <v>1</v>
      </c>
      <c r="C254" s="31" t="s">
        <v>154</v>
      </c>
      <c r="E254" t="str">
        <f>IF(VLOOKUP(C254,'59'!$A$16:$B$23,2,FALSE)="Yes", "TRUE", "")</f>
        <v/>
      </c>
      <c r="F254" s="35">
        <v>0</v>
      </c>
      <c r="G254" s="34">
        <v>1</v>
      </c>
      <c r="H254" s="21" t="s">
        <v>16</v>
      </c>
      <c r="I254" s="21"/>
      <c r="J254" s="34">
        <v>59</v>
      </c>
      <c r="K254" s="34">
        <v>16</v>
      </c>
      <c r="L254" t="str">
        <f>IF('59'!$A$32="","",'59'!$A$32)</f>
        <v/>
      </c>
      <c r="M254" t="str">
        <f>IF('59'!$D$32="","",'59'!$D$32)</f>
        <v/>
      </c>
      <c r="N254" t="str">
        <f>IF('59'!$E$15="","",'59'!$E$15)</f>
        <v/>
      </c>
    </row>
    <row r="255" spans="1:14" hidden="1" x14ac:dyDescent="0.3">
      <c r="A255" s="28" t="s">
        <v>309</v>
      </c>
      <c r="B255" s="20" t="s">
        <v>1</v>
      </c>
      <c r="C255" s="31" t="s">
        <v>155</v>
      </c>
      <c r="E255" t="str">
        <f>IF(VLOOKUP(C255,'59'!$A$16:$B$23,2,FALSE)="Yes", "TRUE", "")</f>
        <v/>
      </c>
      <c r="F255" s="35">
        <v>0</v>
      </c>
      <c r="G255" s="34">
        <v>1</v>
      </c>
      <c r="H255" s="21" t="s">
        <v>16</v>
      </c>
      <c r="I255" s="21"/>
      <c r="J255" s="34">
        <v>59</v>
      </c>
      <c r="K255" s="34">
        <v>16</v>
      </c>
      <c r="L255" t="str">
        <f>IF('59'!$A$32="","",'59'!$A$32)</f>
        <v/>
      </c>
      <c r="M255" t="str">
        <f>IF('59'!$D$32="","",'59'!$D$32)</f>
        <v/>
      </c>
      <c r="N255" t="str">
        <f>IF('59'!$E$15="","",'59'!$E$15)</f>
        <v/>
      </c>
    </row>
    <row r="256" spans="1:14" hidden="1" x14ac:dyDescent="0.3">
      <c r="A256" s="28" t="s">
        <v>309</v>
      </c>
      <c r="B256" s="20" t="s">
        <v>1</v>
      </c>
      <c r="C256" s="31" t="s">
        <v>156</v>
      </c>
      <c r="E256" t="str">
        <f>IF(VLOOKUP(C256,'59'!$A$16:$B$23,2,FALSE)="Yes", "TRUE", "")</f>
        <v/>
      </c>
      <c r="F256" s="35">
        <v>0</v>
      </c>
      <c r="G256" s="34">
        <v>1</v>
      </c>
      <c r="H256" s="21" t="s">
        <v>16</v>
      </c>
      <c r="I256" s="21"/>
      <c r="J256" s="34">
        <v>59</v>
      </c>
      <c r="K256" s="34">
        <v>16</v>
      </c>
      <c r="L256" t="str">
        <f>IF('59'!$A$32="","",'59'!$A$32)</f>
        <v/>
      </c>
      <c r="M256" t="str">
        <f>IF('59'!$D$32="","",'59'!$D$32)</f>
        <v/>
      </c>
      <c r="N256" t="str">
        <f>IF('59'!$E$15="","",'59'!$E$15)</f>
        <v/>
      </c>
    </row>
    <row r="257" spans="1:14" hidden="1" x14ac:dyDescent="0.3">
      <c r="A257" s="28" t="s">
        <v>309</v>
      </c>
      <c r="B257" s="20" t="s">
        <v>1</v>
      </c>
      <c r="C257" s="31" t="s">
        <v>157</v>
      </c>
      <c r="E257" t="str">
        <f>IF(VLOOKUP(C257,'59'!$A$16:$B$23,2,FALSE)="Yes", "TRUE", "")</f>
        <v/>
      </c>
      <c r="F257" s="35">
        <v>0</v>
      </c>
      <c r="G257" s="34">
        <v>1</v>
      </c>
      <c r="H257" s="21" t="s">
        <v>16</v>
      </c>
      <c r="I257" s="21"/>
      <c r="J257" s="34">
        <v>59</v>
      </c>
      <c r="K257" s="34">
        <v>16</v>
      </c>
      <c r="L257" t="str">
        <f>IF('59'!$A$32="","",'59'!$A$32)</f>
        <v/>
      </c>
      <c r="M257" t="str">
        <f>IF('59'!$D$32="","",'59'!$D$32)</f>
        <v/>
      </c>
      <c r="N257" t="str">
        <f>IF('59'!$E$15="","",'59'!$E$15)</f>
        <v/>
      </c>
    </row>
    <row r="258" spans="1:14" hidden="1" x14ac:dyDescent="0.3">
      <c r="A258" s="28" t="s">
        <v>309</v>
      </c>
      <c r="B258" s="20" t="s">
        <v>1</v>
      </c>
      <c r="C258" s="31" t="s">
        <v>307</v>
      </c>
      <c r="E258" t="str">
        <f>IF(VLOOKUP(C258,'59'!$A$16:$B$23,2,FALSE)="Yes", "TRUE", "")</f>
        <v/>
      </c>
      <c r="F258" s="35">
        <v>0</v>
      </c>
      <c r="G258" s="34">
        <v>1</v>
      </c>
      <c r="H258" s="21" t="s">
        <v>16</v>
      </c>
      <c r="I258" s="21"/>
      <c r="J258" s="34">
        <v>59</v>
      </c>
      <c r="K258" s="34">
        <v>16</v>
      </c>
      <c r="L258" t="str">
        <f>IF('59'!$A$32="","",'59'!$A$32)</f>
        <v/>
      </c>
      <c r="M258" t="str">
        <f>IF('59'!$D$32="","",'59'!$D$32)</f>
        <v/>
      </c>
      <c r="N258" t="str">
        <f>IF('59'!$E$15="","",'59'!$E$15)</f>
        <v/>
      </c>
    </row>
    <row r="259" spans="1:14" hidden="1" x14ac:dyDescent="0.3">
      <c r="A259" s="28" t="s">
        <v>309</v>
      </c>
      <c r="B259" s="20" t="s">
        <v>1</v>
      </c>
      <c r="C259" s="31" t="s">
        <v>158</v>
      </c>
      <c r="E259" t="str">
        <f>IF(VLOOKUP(C259,'59'!$A$16:$B$23,2,FALSE)="Yes", "TRUE", "")</f>
        <v/>
      </c>
      <c r="F259" s="35">
        <v>0</v>
      </c>
      <c r="G259" s="34">
        <v>1</v>
      </c>
      <c r="H259" s="21" t="s">
        <v>16</v>
      </c>
      <c r="I259" s="21"/>
      <c r="J259" s="34">
        <v>59</v>
      </c>
      <c r="K259" s="34">
        <v>16</v>
      </c>
      <c r="L259" t="str">
        <f>IF('59'!$A$32="","",'59'!$A$32)</f>
        <v/>
      </c>
      <c r="M259" t="str">
        <f>IF('59'!$D$32="","",'59'!$D$32)</f>
        <v/>
      </c>
      <c r="N259" t="str">
        <f>IF('59'!$E$15="","",'59'!$E$15)</f>
        <v/>
      </c>
    </row>
    <row r="260" spans="1:14" hidden="1" x14ac:dyDescent="0.3">
      <c r="A260" s="28" t="s">
        <v>309</v>
      </c>
      <c r="B260" s="20" t="s">
        <v>1</v>
      </c>
      <c r="C260" s="31" t="s">
        <v>159</v>
      </c>
      <c r="E260" t="str">
        <f>IF(VLOOKUP(C260,'59'!$A$16:$B$23,2,FALSE)="Yes", "TRUE", "")</f>
        <v/>
      </c>
      <c r="F260" s="35">
        <v>0</v>
      </c>
      <c r="G260" s="34">
        <v>1</v>
      </c>
      <c r="H260" s="21" t="s">
        <v>16</v>
      </c>
      <c r="I260" s="21"/>
      <c r="J260" s="34">
        <v>59</v>
      </c>
      <c r="K260" s="34">
        <v>16</v>
      </c>
      <c r="L260" t="str">
        <f>IF('59'!$A$32="","",'59'!$A$32)</f>
        <v/>
      </c>
      <c r="M260" t="str">
        <f>IF('59'!$D$32="","",'59'!$D$32)</f>
        <v/>
      </c>
      <c r="N260" t="str">
        <f>IF('59'!$E$15="","",'59'!$E$15)</f>
        <v/>
      </c>
    </row>
    <row r="261" spans="1:14" hidden="1" x14ac:dyDescent="0.3">
      <c r="A261" s="28" t="s">
        <v>309</v>
      </c>
      <c r="B261" s="20" t="s">
        <v>1</v>
      </c>
      <c r="C261" s="31" t="s">
        <v>153</v>
      </c>
      <c r="D261">
        <v>0</v>
      </c>
      <c r="F261" s="35">
        <v>0</v>
      </c>
      <c r="G261" s="34">
        <v>1</v>
      </c>
      <c r="H261" s="21" t="s">
        <v>16</v>
      </c>
      <c r="I261" s="21"/>
      <c r="J261" s="34">
        <v>59</v>
      </c>
      <c r="K261" s="34">
        <v>16</v>
      </c>
      <c r="L261" t="str">
        <f>IF('59'!$A$32="","",'59'!$A$32)</f>
        <v/>
      </c>
      <c r="M261" t="str">
        <f>IF('59'!$D$32="","",'59'!$D$32)</f>
        <v/>
      </c>
      <c r="N261" t="str">
        <f>IF('59'!$E$15="","",'59'!$E$15)</f>
        <v/>
      </c>
    </row>
    <row r="262" spans="1:14" hidden="1" x14ac:dyDescent="0.3">
      <c r="A262" s="28" t="s">
        <v>315</v>
      </c>
      <c r="B262" s="20" t="s">
        <v>375</v>
      </c>
      <c r="C262" s="31"/>
      <c r="D262">
        <v>-2</v>
      </c>
      <c r="E262" s="4" t="str">
        <f>IF(B262='59'!$B$24,"TRUE","")</f>
        <v/>
      </c>
      <c r="F262" s="35">
        <v>0</v>
      </c>
      <c r="G262" s="34">
        <v>2</v>
      </c>
      <c r="H262" s="21" t="s">
        <v>16</v>
      </c>
      <c r="I262" s="21"/>
      <c r="J262" s="34">
        <v>59</v>
      </c>
      <c r="K262" s="34">
        <v>16</v>
      </c>
      <c r="L262" t="str">
        <f>IF('59'!$A$32="","",'59'!$A$32)</f>
        <v/>
      </c>
      <c r="M262" t="str">
        <f>IF('59'!$D$32="","",'59'!$D$32)</f>
        <v/>
      </c>
      <c r="N262" t="str">
        <f>IF('59'!$E$24="","",'59'!$E$24)</f>
        <v/>
      </c>
    </row>
    <row r="263" spans="1:14" hidden="1" x14ac:dyDescent="0.3">
      <c r="A263" s="28" t="s">
        <v>315</v>
      </c>
      <c r="B263" s="20" t="s">
        <v>1</v>
      </c>
      <c r="C263" s="31" t="s">
        <v>310</v>
      </c>
      <c r="E263" t="str">
        <f>IF(VLOOKUP(C263,'59'!$A$25:$B$29,2,FALSE)="Yes", "TRUE", "")</f>
        <v/>
      </c>
      <c r="F263" s="35">
        <v>0</v>
      </c>
      <c r="G263" s="34">
        <v>2</v>
      </c>
      <c r="H263" s="21" t="s">
        <v>16</v>
      </c>
      <c r="I263" s="21"/>
      <c r="J263" s="34">
        <v>59</v>
      </c>
      <c r="K263" s="34">
        <v>16</v>
      </c>
      <c r="L263" t="str">
        <f>IF('59'!$A$32="","",'59'!$A$32)</f>
        <v/>
      </c>
      <c r="M263" t="str">
        <f>IF('59'!$D$32="","",'59'!$D$32)</f>
        <v/>
      </c>
      <c r="N263" t="str">
        <f>IF('59'!$E$24="","",'59'!$E$24)</f>
        <v/>
      </c>
    </row>
    <row r="264" spans="1:14" hidden="1" x14ac:dyDescent="0.3">
      <c r="A264" s="28" t="s">
        <v>315</v>
      </c>
      <c r="B264" s="20" t="s">
        <v>1</v>
      </c>
      <c r="C264" s="31" t="s">
        <v>311</v>
      </c>
      <c r="E264" t="str">
        <f>IF(VLOOKUP(C264,'59'!$A$25:$B$29,2,FALSE)="Yes", "TRUE", "")</f>
        <v/>
      </c>
      <c r="F264" s="35">
        <v>0</v>
      </c>
      <c r="G264" s="34">
        <v>2</v>
      </c>
      <c r="H264" s="21" t="s">
        <v>16</v>
      </c>
      <c r="I264" s="21"/>
      <c r="J264" s="34">
        <v>59</v>
      </c>
      <c r="K264" s="34">
        <v>16</v>
      </c>
      <c r="L264" t="str">
        <f>IF('59'!$A$32="","",'59'!$A$32)</f>
        <v/>
      </c>
      <c r="M264" t="str">
        <f>IF('59'!$D$32="","",'59'!$D$32)</f>
        <v/>
      </c>
      <c r="N264" t="str">
        <f>IF('59'!$E$24="","",'59'!$E$24)</f>
        <v/>
      </c>
    </row>
    <row r="265" spans="1:14" hidden="1" x14ac:dyDescent="0.3">
      <c r="A265" s="28" t="s">
        <v>315</v>
      </c>
      <c r="B265" s="20" t="s">
        <v>1</v>
      </c>
      <c r="C265" s="31" t="s">
        <v>312</v>
      </c>
      <c r="E265" t="str">
        <f>IF(VLOOKUP(C265,'59'!$A$25:$B$29,2,FALSE)="Yes", "TRUE", "")</f>
        <v/>
      </c>
      <c r="F265" s="35">
        <v>0</v>
      </c>
      <c r="G265" s="34">
        <v>2</v>
      </c>
      <c r="H265" s="21" t="s">
        <v>16</v>
      </c>
      <c r="I265" s="21"/>
      <c r="J265" s="34">
        <v>59</v>
      </c>
      <c r="K265" s="34">
        <v>16</v>
      </c>
      <c r="L265" t="str">
        <f>IF('59'!$A$32="","",'59'!$A$32)</f>
        <v/>
      </c>
      <c r="M265" t="str">
        <f>IF('59'!$D$32="","",'59'!$D$32)</f>
        <v/>
      </c>
      <c r="N265" t="str">
        <f>IF('59'!$E$24="","",'59'!$E$24)</f>
        <v/>
      </c>
    </row>
    <row r="266" spans="1:14" hidden="1" x14ac:dyDescent="0.3">
      <c r="A266" s="28" t="s">
        <v>315</v>
      </c>
      <c r="B266" s="20" t="s">
        <v>1</v>
      </c>
      <c r="C266" s="31" t="s">
        <v>313</v>
      </c>
      <c r="E266" t="str">
        <f>IF(VLOOKUP(C266,'59'!$A$25:$B$29,2,FALSE)="Yes", "TRUE", "")</f>
        <v/>
      </c>
      <c r="F266" s="35">
        <v>0</v>
      </c>
      <c r="G266" s="34">
        <v>2</v>
      </c>
      <c r="H266" s="21" t="s">
        <v>16</v>
      </c>
      <c r="I266" s="21"/>
      <c r="J266" s="34">
        <v>59</v>
      </c>
      <c r="K266" s="34">
        <v>16</v>
      </c>
      <c r="L266" t="str">
        <f>IF('59'!$A$32="","",'59'!$A$32)</f>
        <v/>
      </c>
      <c r="M266" t="str">
        <f>IF('59'!$D$32="","",'59'!$D$32)</f>
        <v/>
      </c>
      <c r="N266" t="str">
        <f>IF('59'!$E$24="","",'59'!$E$24)</f>
        <v/>
      </c>
    </row>
    <row r="267" spans="1:14" hidden="1" x14ac:dyDescent="0.3">
      <c r="A267" s="28" t="s">
        <v>315</v>
      </c>
      <c r="B267" s="20" t="s">
        <v>1</v>
      </c>
      <c r="C267" s="31" t="s">
        <v>314</v>
      </c>
      <c r="E267" t="str">
        <f>IF(VLOOKUP(C267,'59'!$A$25:$B$29,2,FALSE)="Yes", "TRUE", "")</f>
        <v/>
      </c>
      <c r="F267" s="35">
        <v>0</v>
      </c>
      <c r="G267" s="34">
        <v>2</v>
      </c>
      <c r="H267" s="21" t="s">
        <v>16</v>
      </c>
      <c r="I267" s="21"/>
      <c r="J267" s="34">
        <v>59</v>
      </c>
      <c r="K267" s="34">
        <v>16</v>
      </c>
      <c r="L267" t="str">
        <f>IF('59'!$A$32="","",'59'!$A$32)</f>
        <v/>
      </c>
      <c r="M267" t="str">
        <f>IF('59'!$D$32="","",'59'!$D$32)</f>
        <v/>
      </c>
      <c r="N267" t="str">
        <f>IF('59'!$E$24="","",'59'!$E$24)</f>
        <v/>
      </c>
    </row>
    <row r="268" spans="1:14" hidden="1" x14ac:dyDescent="0.3">
      <c r="A268" s="20" t="s">
        <v>316</v>
      </c>
      <c r="B268" s="20" t="s">
        <v>375</v>
      </c>
      <c r="C268" s="20"/>
      <c r="D268">
        <v>-2</v>
      </c>
      <c r="E268" s="4" t="str">
        <f>IF(B268='65'!$B$2,"TRUE","")</f>
        <v/>
      </c>
      <c r="F268" s="35">
        <v>0</v>
      </c>
      <c r="G268" s="35">
        <v>0</v>
      </c>
      <c r="H268" s="21" t="s">
        <v>16</v>
      </c>
      <c r="I268" s="21"/>
      <c r="J268" s="34">
        <v>65</v>
      </c>
      <c r="K268" s="34">
        <v>19</v>
      </c>
      <c r="L268" t="str">
        <f>IF('65'!$A$18="","",'65'!$A$18)</f>
        <v/>
      </c>
      <c r="M268" t="str">
        <f>IF('65'!$D$18="","",'65'!$D$18)</f>
        <v/>
      </c>
      <c r="N268" t="str">
        <f>IF('65'!$E$2="","",'65'!$E$2)</f>
        <v/>
      </c>
    </row>
    <row r="269" spans="1:14" hidden="1" x14ac:dyDescent="0.3">
      <c r="A269" s="20" t="s">
        <v>316</v>
      </c>
      <c r="B269" s="20" t="s">
        <v>1</v>
      </c>
      <c r="C269" s="25" t="s">
        <v>134</v>
      </c>
      <c r="E269" t="str">
        <f>IF(VLOOKUP(C269,'65'!$A$3:$B$9,2,FALSE)="Yes", "TRUE", "")</f>
        <v/>
      </c>
      <c r="F269" s="35">
        <v>0</v>
      </c>
      <c r="G269" s="35">
        <v>0</v>
      </c>
      <c r="H269" s="21" t="s">
        <v>16</v>
      </c>
      <c r="I269" s="21"/>
      <c r="J269" s="34">
        <v>65</v>
      </c>
      <c r="K269" s="34">
        <v>19</v>
      </c>
      <c r="L269" t="str">
        <f>IF('65'!$A$18="","",'65'!$A$18)</f>
        <v/>
      </c>
      <c r="M269" t="str">
        <f>IF('65'!$D$18="","",'65'!$D$18)</f>
        <v/>
      </c>
      <c r="N269" t="str">
        <f>IF('65'!$E$2="","",'65'!$E$2)</f>
        <v/>
      </c>
    </row>
    <row r="270" spans="1:14" hidden="1" x14ac:dyDescent="0.3">
      <c r="A270" s="20" t="s">
        <v>316</v>
      </c>
      <c r="B270" s="20" t="s">
        <v>1</v>
      </c>
      <c r="C270" s="25" t="s">
        <v>160</v>
      </c>
      <c r="E270" t="str">
        <f>IF(VLOOKUP(C270,'65'!$A$3:$B$9,2,FALSE)="Yes", "TRUE", "")</f>
        <v/>
      </c>
      <c r="F270" s="35">
        <v>0</v>
      </c>
      <c r="G270" s="35">
        <v>0</v>
      </c>
      <c r="H270" s="21" t="s">
        <v>16</v>
      </c>
      <c r="I270" s="21"/>
      <c r="J270" s="34">
        <v>65</v>
      </c>
      <c r="K270" s="34">
        <v>19</v>
      </c>
      <c r="L270" t="str">
        <f>IF('65'!$A$18="","",'65'!$A$18)</f>
        <v/>
      </c>
      <c r="M270" t="str">
        <f>IF('65'!$D$18="","",'65'!$D$18)</f>
        <v/>
      </c>
      <c r="N270" t="str">
        <f>IF('65'!$E$2="","",'65'!$E$2)</f>
        <v/>
      </c>
    </row>
    <row r="271" spans="1:14" hidden="1" x14ac:dyDescent="0.3">
      <c r="A271" s="20" t="s">
        <v>316</v>
      </c>
      <c r="B271" s="20" t="s">
        <v>1</v>
      </c>
      <c r="C271" s="25" t="s">
        <v>161</v>
      </c>
      <c r="E271" t="str">
        <f>IF(VLOOKUP(C271,'65'!$A$3:$B$9,2,FALSE)="Yes", "TRUE", "")</f>
        <v/>
      </c>
      <c r="F271" s="35">
        <v>0</v>
      </c>
      <c r="G271" s="35">
        <v>0</v>
      </c>
      <c r="H271" s="21" t="s">
        <v>16</v>
      </c>
      <c r="I271" s="21"/>
      <c r="J271" s="34">
        <v>65</v>
      </c>
      <c r="K271" s="34">
        <v>19</v>
      </c>
      <c r="L271" t="str">
        <f>IF('65'!$A$18="","",'65'!$A$18)</f>
        <v/>
      </c>
      <c r="M271" t="str">
        <f>IF('65'!$D$18="","",'65'!$D$18)</f>
        <v/>
      </c>
      <c r="N271" t="str">
        <f>IF('65'!$E$2="","",'65'!$E$2)</f>
        <v/>
      </c>
    </row>
    <row r="272" spans="1:14" hidden="1" x14ac:dyDescent="0.3">
      <c r="A272" s="20" t="s">
        <v>316</v>
      </c>
      <c r="B272" s="20" t="s">
        <v>1</v>
      </c>
      <c r="C272" s="25" t="s">
        <v>318</v>
      </c>
      <c r="E272" t="str">
        <f>IF(VLOOKUP(C272,'65'!$A$3:$B$9,2,FALSE)="Yes", "TRUE", "")</f>
        <v/>
      </c>
      <c r="F272" s="35">
        <v>0</v>
      </c>
      <c r="G272" s="35">
        <v>0</v>
      </c>
      <c r="H272" s="21" t="s">
        <v>16</v>
      </c>
      <c r="I272" s="21"/>
      <c r="J272" s="34">
        <v>65</v>
      </c>
      <c r="K272" s="34">
        <v>19</v>
      </c>
      <c r="L272" t="str">
        <f>IF('65'!$A$18="","",'65'!$A$18)</f>
        <v/>
      </c>
      <c r="M272" t="str">
        <f>IF('65'!$D$18="","",'65'!$D$18)</f>
        <v/>
      </c>
      <c r="N272" t="str">
        <f>IF('65'!$E$2="","",'65'!$E$2)</f>
        <v/>
      </c>
    </row>
    <row r="273" spans="1:14" hidden="1" x14ac:dyDescent="0.3">
      <c r="A273" s="20" t="s">
        <v>316</v>
      </c>
      <c r="B273" s="20" t="s">
        <v>1</v>
      </c>
      <c r="C273" s="25" t="s">
        <v>162</v>
      </c>
      <c r="E273" t="str">
        <f>IF(VLOOKUP(C273,'65'!$A$3:$B$9,2,FALSE)="Yes", "TRUE", "")</f>
        <v/>
      </c>
      <c r="F273" s="35">
        <v>0</v>
      </c>
      <c r="G273" s="35">
        <v>0</v>
      </c>
      <c r="H273" s="21" t="s">
        <v>16</v>
      </c>
      <c r="I273" s="21"/>
      <c r="J273" s="34">
        <v>65</v>
      </c>
      <c r="K273" s="34">
        <v>19</v>
      </c>
      <c r="L273" t="str">
        <f>IF('65'!$A$18="","",'65'!$A$18)</f>
        <v/>
      </c>
      <c r="M273" t="str">
        <f>IF('65'!$D$18="","",'65'!$D$18)</f>
        <v/>
      </c>
      <c r="N273" t="str">
        <f>IF('65'!$E$2="","",'65'!$E$2)</f>
        <v/>
      </c>
    </row>
    <row r="274" spans="1:14" hidden="1" x14ac:dyDescent="0.3">
      <c r="A274" s="20" t="s">
        <v>316</v>
      </c>
      <c r="B274" s="20" t="s">
        <v>1</v>
      </c>
      <c r="C274" s="25" t="s">
        <v>163</v>
      </c>
      <c r="E274" t="str">
        <f>IF(VLOOKUP(C274,'65'!$A$3:$B$9,2,FALSE)="Yes", "TRUE", "")</f>
        <v/>
      </c>
      <c r="F274" s="35">
        <v>0</v>
      </c>
      <c r="G274" s="35">
        <v>0</v>
      </c>
      <c r="H274" s="21" t="s">
        <v>16</v>
      </c>
      <c r="I274" s="21"/>
      <c r="J274" s="34">
        <v>65</v>
      </c>
      <c r="K274" s="34">
        <v>19</v>
      </c>
      <c r="L274" t="str">
        <f>IF('65'!$A$18="","",'65'!$A$18)</f>
        <v/>
      </c>
      <c r="M274" t="str">
        <f>IF('65'!$D$18="","",'65'!$D$18)</f>
        <v/>
      </c>
      <c r="N274" t="str">
        <f>IF('65'!$E$2="","",'65'!$E$2)</f>
        <v/>
      </c>
    </row>
    <row r="275" spans="1:14" hidden="1" x14ac:dyDescent="0.3">
      <c r="A275" s="20" t="s">
        <v>316</v>
      </c>
      <c r="B275" s="20" t="s">
        <v>1</v>
      </c>
      <c r="C275" s="25" t="s">
        <v>164</v>
      </c>
      <c r="E275" t="str">
        <f>IF(VLOOKUP(C275,'65'!$A$3:$B$9,2,FALSE)="Yes", "TRUE", "")</f>
        <v/>
      </c>
      <c r="F275" s="35">
        <v>0</v>
      </c>
      <c r="G275" s="35">
        <v>0</v>
      </c>
      <c r="H275" s="21" t="s">
        <v>16</v>
      </c>
      <c r="I275" s="21"/>
      <c r="J275" s="34">
        <v>65</v>
      </c>
      <c r="K275" s="34">
        <v>19</v>
      </c>
      <c r="L275" t="str">
        <f>IF('65'!$A$18="","",'65'!$A$18)</f>
        <v/>
      </c>
      <c r="M275" t="str">
        <f>IF('65'!$D$18="","",'65'!$D$18)</f>
        <v/>
      </c>
      <c r="N275" t="str">
        <f>IF('65'!$E$2="","",'65'!$E$2)</f>
        <v/>
      </c>
    </row>
    <row r="276" spans="1:14" hidden="1" x14ac:dyDescent="0.3">
      <c r="A276" s="20" t="s">
        <v>317</v>
      </c>
      <c r="B276" s="20" t="s">
        <v>375</v>
      </c>
      <c r="C276" s="20"/>
      <c r="D276">
        <v>-2</v>
      </c>
      <c r="E276" s="4" t="str">
        <f>IF(B276='65'!$B$10,"TRUE","")</f>
        <v/>
      </c>
      <c r="F276" s="35">
        <v>0</v>
      </c>
      <c r="G276" s="34">
        <v>1</v>
      </c>
      <c r="H276" s="21" t="s">
        <v>16</v>
      </c>
      <c r="I276" s="21"/>
      <c r="J276" s="34">
        <v>65</v>
      </c>
      <c r="K276" s="34">
        <v>19</v>
      </c>
      <c r="L276" t="str">
        <f>IF('65'!$A$18="","",'65'!$A$18)</f>
        <v/>
      </c>
      <c r="M276" t="str">
        <f>IF('65'!$D$18="","",'65'!$D$18)</f>
        <v/>
      </c>
      <c r="N276" t="str">
        <f>IF('65'!$E$10="","",'65'!$E$10)</f>
        <v/>
      </c>
    </row>
    <row r="277" spans="1:14" hidden="1" x14ac:dyDescent="0.3">
      <c r="A277" s="20" t="s">
        <v>317</v>
      </c>
      <c r="B277" s="20" t="s">
        <v>1</v>
      </c>
      <c r="C277" s="25" t="s">
        <v>165</v>
      </c>
      <c r="E277" t="str">
        <f>IF(VLOOKUP(C277,'65'!$A$11:$B$15,2,FALSE)="Yes", "TRUE", "")</f>
        <v/>
      </c>
      <c r="F277" s="35">
        <v>0</v>
      </c>
      <c r="G277" s="34">
        <v>1</v>
      </c>
      <c r="H277" s="21" t="s">
        <v>16</v>
      </c>
      <c r="I277" s="21"/>
      <c r="J277" s="34">
        <v>65</v>
      </c>
      <c r="K277" s="34">
        <v>19</v>
      </c>
      <c r="L277" t="str">
        <f>IF('65'!$A$18="","",'65'!$A$18)</f>
        <v/>
      </c>
      <c r="M277" t="str">
        <f>IF('65'!$D$18="","",'65'!$D$18)</f>
        <v/>
      </c>
      <c r="N277" t="str">
        <f>IF('65'!$E$10="","",'65'!$E$10)</f>
        <v/>
      </c>
    </row>
    <row r="278" spans="1:14" hidden="1" x14ac:dyDescent="0.3">
      <c r="A278" s="20" t="s">
        <v>317</v>
      </c>
      <c r="B278" s="20" t="s">
        <v>1</v>
      </c>
      <c r="C278" s="25" t="s">
        <v>166</v>
      </c>
      <c r="E278" t="str">
        <f>IF(VLOOKUP(C278,'65'!$A$11:$B$15,2,FALSE)="Yes", "TRUE", "")</f>
        <v/>
      </c>
      <c r="F278" s="35">
        <v>0</v>
      </c>
      <c r="G278" s="34">
        <v>1</v>
      </c>
      <c r="H278" s="21" t="s">
        <v>16</v>
      </c>
      <c r="I278" s="21"/>
      <c r="J278" s="34">
        <v>65</v>
      </c>
      <c r="K278" s="34">
        <v>19</v>
      </c>
      <c r="L278" t="str">
        <f>IF('65'!$A$18="","",'65'!$A$18)</f>
        <v/>
      </c>
      <c r="M278" t="str">
        <f>IF('65'!$D$18="","",'65'!$D$18)</f>
        <v/>
      </c>
      <c r="N278" t="str">
        <f>IF('65'!$E$10="","",'65'!$E$10)</f>
        <v/>
      </c>
    </row>
    <row r="279" spans="1:14" hidden="1" x14ac:dyDescent="0.3">
      <c r="A279" s="20" t="s">
        <v>317</v>
      </c>
      <c r="B279" s="20" t="s">
        <v>1</v>
      </c>
      <c r="C279" s="25" t="s">
        <v>167</v>
      </c>
      <c r="E279" t="str">
        <f>IF(VLOOKUP(C279,'65'!$A$11:$B$15,2,FALSE)="Yes", "TRUE", "")</f>
        <v/>
      </c>
      <c r="F279" s="35">
        <v>0</v>
      </c>
      <c r="G279" s="34">
        <v>1</v>
      </c>
      <c r="H279" s="21" t="s">
        <v>16</v>
      </c>
      <c r="I279" s="21"/>
      <c r="J279" s="34">
        <v>65</v>
      </c>
      <c r="K279" s="34">
        <v>19</v>
      </c>
      <c r="L279" t="str">
        <f>IF('65'!$A$18="","",'65'!$A$18)</f>
        <v/>
      </c>
      <c r="M279" t="str">
        <f>IF('65'!$D$18="","",'65'!$D$18)</f>
        <v/>
      </c>
      <c r="N279" t="str">
        <f>IF('65'!$E$10="","",'65'!$E$10)</f>
        <v/>
      </c>
    </row>
    <row r="280" spans="1:14" hidden="1" x14ac:dyDescent="0.3">
      <c r="A280" s="20" t="s">
        <v>317</v>
      </c>
      <c r="B280" s="20" t="s">
        <v>1</v>
      </c>
      <c r="C280" s="25" t="s">
        <v>319</v>
      </c>
      <c r="E280" t="str">
        <f>IF(VLOOKUP(C280,'65'!$A$11:$B$15,2,FALSE)="Yes", "TRUE", "")</f>
        <v/>
      </c>
      <c r="F280" s="35">
        <v>0</v>
      </c>
      <c r="G280" s="34">
        <v>1</v>
      </c>
      <c r="H280" s="21" t="s">
        <v>16</v>
      </c>
      <c r="I280" s="21"/>
      <c r="J280" s="34">
        <v>65</v>
      </c>
      <c r="K280" s="34">
        <v>19</v>
      </c>
      <c r="L280" t="str">
        <f>IF('65'!$A$18="","",'65'!$A$18)</f>
        <v/>
      </c>
      <c r="M280" t="str">
        <f>IF('65'!$D$18="","",'65'!$D$18)</f>
        <v/>
      </c>
      <c r="N280" t="str">
        <f>IF('65'!$E$10="","",'65'!$E$10)</f>
        <v/>
      </c>
    </row>
    <row r="281" spans="1:14" hidden="1" x14ac:dyDescent="0.3">
      <c r="A281" s="20" t="s">
        <v>317</v>
      </c>
      <c r="B281" s="20" t="s">
        <v>1</v>
      </c>
      <c r="C281" s="25" t="s">
        <v>168</v>
      </c>
      <c r="E281" t="str">
        <f>IF(VLOOKUP(C281,'65'!$A$11:$B$15,2,FALSE)="Yes", "TRUE", "")</f>
        <v/>
      </c>
      <c r="F281" s="34">
        <v>0</v>
      </c>
      <c r="G281" s="34">
        <v>1</v>
      </c>
      <c r="H281" s="21" t="s">
        <v>16</v>
      </c>
      <c r="I281" s="21"/>
      <c r="J281" s="34">
        <v>65</v>
      </c>
      <c r="K281" s="34">
        <v>19</v>
      </c>
      <c r="L281" t="str">
        <f>IF('65'!$A$18="","",'65'!$A$18)</f>
        <v/>
      </c>
      <c r="M281" t="str">
        <f>IF('65'!$D$18="","",'65'!$D$18)</f>
        <v/>
      </c>
      <c r="N281" t="str">
        <f>IF('65'!$E$10="","",'65'!$E$10)</f>
        <v/>
      </c>
    </row>
    <row r="282" spans="1:14" hidden="1" x14ac:dyDescent="0.3">
      <c r="A282" s="20" t="s">
        <v>320</v>
      </c>
      <c r="B282" s="20" t="s">
        <v>375</v>
      </c>
      <c r="C282" s="20"/>
      <c r="D282">
        <v>-2</v>
      </c>
      <c r="E282" s="4" t="str">
        <f>IF(B282='66'!$B$2,"TRUE","")</f>
        <v/>
      </c>
      <c r="F282" s="34">
        <v>0</v>
      </c>
      <c r="G282" s="34">
        <v>0</v>
      </c>
      <c r="H282" s="21" t="s">
        <v>16</v>
      </c>
      <c r="I282" s="21"/>
      <c r="J282" s="34">
        <v>66</v>
      </c>
      <c r="K282" s="34">
        <v>20</v>
      </c>
      <c r="L282" t="str">
        <f>IF('66'!$A$14="","",'66'!$A$14)</f>
        <v/>
      </c>
      <c r="M282" t="str">
        <f>IF('66'!$D$14="","",'66'!$D$14)</f>
        <v/>
      </c>
      <c r="N282" t="str">
        <f>IF('66'!$E$2="","",'66'!$E$2)</f>
        <v/>
      </c>
    </row>
    <row r="283" spans="1:14" hidden="1" x14ac:dyDescent="0.3">
      <c r="A283" s="20" t="s">
        <v>320</v>
      </c>
      <c r="B283" s="20" t="s">
        <v>1</v>
      </c>
      <c r="C283" s="25" t="s">
        <v>169</v>
      </c>
      <c r="E283" t="str">
        <f>IF(VLOOKUP(C283,'66'!$A$3:$B$6,2,FALSE)="Yes", "TRUE", "")</f>
        <v/>
      </c>
      <c r="F283" s="34">
        <v>0</v>
      </c>
      <c r="G283" s="34">
        <v>0</v>
      </c>
      <c r="H283" s="21" t="s">
        <v>16</v>
      </c>
      <c r="I283" s="21"/>
      <c r="J283" s="34">
        <v>66</v>
      </c>
      <c r="K283" s="34">
        <v>20</v>
      </c>
      <c r="L283" t="str">
        <f>IF('66'!$A$14="","",'66'!$A$14)</f>
        <v/>
      </c>
      <c r="M283" t="str">
        <f>IF('66'!$D$14="","",'66'!$D$14)</f>
        <v/>
      </c>
      <c r="N283" t="str">
        <f>IF('66'!$E$2="","",'66'!$E$2)</f>
        <v/>
      </c>
    </row>
    <row r="284" spans="1:14" hidden="1" x14ac:dyDescent="0.3">
      <c r="A284" s="20" t="s">
        <v>320</v>
      </c>
      <c r="B284" s="20" t="s">
        <v>1</v>
      </c>
      <c r="C284" s="25" t="s">
        <v>322</v>
      </c>
      <c r="E284" t="str">
        <f>IF(VLOOKUP(C284,'66'!$A$3:$B$6,2,FALSE)="Yes", "TRUE", "")</f>
        <v/>
      </c>
      <c r="F284" s="34">
        <v>0</v>
      </c>
      <c r="G284" s="34">
        <v>0</v>
      </c>
      <c r="H284" s="21" t="s">
        <v>16</v>
      </c>
      <c r="I284" s="21"/>
      <c r="J284" s="34">
        <v>66</v>
      </c>
      <c r="K284" s="34">
        <v>20</v>
      </c>
      <c r="L284" t="str">
        <f>IF('66'!$A$14="","",'66'!$A$14)</f>
        <v/>
      </c>
      <c r="M284" t="str">
        <f>IF('66'!$D$14="","",'66'!$D$14)</f>
        <v/>
      </c>
      <c r="N284" t="str">
        <f>IF('66'!$E$2="","",'66'!$E$2)</f>
        <v/>
      </c>
    </row>
    <row r="285" spans="1:14" hidden="1" x14ac:dyDescent="0.3">
      <c r="A285" s="20" t="s">
        <v>320</v>
      </c>
      <c r="B285" s="20" t="s">
        <v>1</v>
      </c>
      <c r="C285" s="25" t="s">
        <v>323</v>
      </c>
      <c r="E285" t="str">
        <f>IF(VLOOKUP(C285,'66'!$A$3:$B$6,2,FALSE)="Yes", "TRUE", "")</f>
        <v/>
      </c>
      <c r="F285" s="34">
        <v>0</v>
      </c>
      <c r="G285" s="34">
        <v>0</v>
      </c>
      <c r="H285" s="21" t="s">
        <v>16</v>
      </c>
      <c r="I285" s="21"/>
      <c r="J285" s="34">
        <v>66</v>
      </c>
      <c r="K285" s="34">
        <v>20</v>
      </c>
      <c r="L285" t="str">
        <f>IF('66'!$A$14="","",'66'!$A$14)</f>
        <v/>
      </c>
      <c r="M285" t="str">
        <f>IF('66'!$D$14="","",'66'!$D$14)</f>
        <v/>
      </c>
      <c r="N285" t="str">
        <f>IF('66'!$E$2="","",'66'!$E$2)</f>
        <v/>
      </c>
    </row>
    <row r="286" spans="1:14" hidden="1" x14ac:dyDescent="0.3">
      <c r="A286" s="20" t="s">
        <v>320</v>
      </c>
      <c r="B286" s="20" t="s">
        <v>1</v>
      </c>
      <c r="C286" s="25" t="s">
        <v>324</v>
      </c>
      <c r="E286" t="str">
        <f>IF(VLOOKUP(C286,'66'!$A$3:$B$6,2,FALSE)="Yes", "TRUE", "")</f>
        <v/>
      </c>
      <c r="F286" s="34">
        <v>0</v>
      </c>
      <c r="G286" s="34">
        <v>0</v>
      </c>
      <c r="H286" s="21" t="s">
        <v>16</v>
      </c>
      <c r="I286" s="21"/>
      <c r="J286" s="34">
        <v>66</v>
      </c>
      <c r="K286" s="34">
        <v>20</v>
      </c>
      <c r="L286" t="str">
        <f>IF('66'!$A$14="","",'66'!$A$14)</f>
        <v/>
      </c>
      <c r="M286" t="str">
        <f>IF('66'!$D$14="","",'66'!$D$14)</f>
        <v/>
      </c>
      <c r="N286" t="str">
        <f>IF('66'!$E$2="","",'66'!$E$2)</f>
        <v/>
      </c>
    </row>
    <row r="287" spans="1:14" hidden="1" x14ac:dyDescent="0.3">
      <c r="A287" s="20" t="s">
        <v>321</v>
      </c>
      <c r="B287" s="20" t="s">
        <v>375</v>
      </c>
      <c r="C287" s="20"/>
      <c r="D287">
        <v>-2</v>
      </c>
      <c r="E287" s="4" t="str">
        <f>IF(B287='66'!$B$7,"TRUE","")</f>
        <v/>
      </c>
      <c r="F287" s="34">
        <v>0</v>
      </c>
      <c r="G287" s="34">
        <v>1</v>
      </c>
      <c r="H287" s="21" t="s">
        <v>16</v>
      </c>
      <c r="I287" s="21"/>
      <c r="J287" s="34">
        <v>66</v>
      </c>
      <c r="K287" s="34">
        <v>20</v>
      </c>
      <c r="L287" t="str">
        <f>IF('66'!$A$14="","",'66'!$A$14)</f>
        <v/>
      </c>
      <c r="M287" t="str">
        <f>IF('66'!$D$14="","",'66'!$D$14)</f>
        <v/>
      </c>
      <c r="N287" t="str">
        <f>IF('66'!$E$7="","",'66'!$E$7)</f>
        <v/>
      </c>
    </row>
    <row r="288" spans="1:14" hidden="1" x14ac:dyDescent="0.3">
      <c r="A288" s="20" t="s">
        <v>321</v>
      </c>
      <c r="B288" s="20" t="s">
        <v>1</v>
      </c>
      <c r="C288" s="25" t="s">
        <v>325</v>
      </c>
      <c r="E288" t="str">
        <f>IF(VLOOKUP(C288,'66'!$A$8:$B$11,2,FALSE)="Yes", "TRUE", "")</f>
        <v/>
      </c>
      <c r="F288" s="34">
        <v>0</v>
      </c>
      <c r="G288" s="34">
        <v>1</v>
      </c>
      <c r="H288" s="21" t="s">
        <v>16</v>
      </c>
      <c r="I288" s="21"/>
      <c r="J288" s="34">
        <v>66</v>
      </c>
      <c r="K288" s="34">
        <v>20</v>
      </c>
      <c r="L288" t="str">
        <f>IF('66'!$A$14="","",'66'!$A$14)</f>
        <v/>
      </c>
      <c r="M288" t="str">
        <f>IF('66'!$D$14="","",'66'!$D$14)</f>
        <v/>
      </c>
      <c r="N288" t="str">
        <f>IF('66'!$E$7="","",'66'!$E$7)</f>
        <v/>
      </c>
    </row>
    <row r="289" spans="1:14" hidden="1" x14ac:dyDescent="0.3">
      <c r="A289" s="20" t="s">
        <v>321</v>
      </c>
      <c r="B289" s="20" t="s">
        <v>1</v>
      </c>
      <c r="C289" s="25" t="s">
        <v>326</v>
      </c>
      <c r="E289" t="str">
        <f>IF(VLOOKUP(C289,'66'!$A$8:$B$11,2,FALSE)="Yes", "TRUE", "")</f>
        <v/>
      </c>
      <c r="F289" s="34">
        <v>0</v>
      </c>
      <c r="G289" s="34">
        <v>1</v>
      </c>
      <c r="H289" s="21" t="s">
        <v>16</v>
      </c>
      <c r="I289" s="21"/>
      <c r="J289" s="34">
        <v>66</v>
      </c>
      <c r="K289" s="34">
        <v>20</v>
      </c>
      <c r="L289" t="str">
        <f>IF('66'!$A$14="","",'66'!$A$14)</f>
        <v/>
      </c>
      <c r="M289" t="str">
        <f>IF('66'!$D$14="","",'66'!$D$14)</f>
        <v/>
      </c>
      <c r="N289" t="str">
        <f>IF('66'!$E$7="","",'66'!$E$7)</f>
        <v/>
      </c>
    </row>
    <row r="290" spans="1:14" hidden="1" x14ac:dyDescent="0.3">
      <c r="A290" s="20" t="s">
        <v>321</v>
      </c>
      <c r="B290" s="20" t="s">
        <v>1</v>
      </c>
      <c r="C290" s="25" t="s">
        <v>327</v>
      </c>
      <c r="E290" t="str">
        <f>IF(VLOOKUP(C290,'66'!$A$8:$B$11,2,FALSE)="Yes", "TRUE", "")</f>
        <v/>
      </c>
      <c r="F290" s="34">
        <v>0</v>
      </c>
      <c r="G290" s="34">
        <v>1</v>
      </c>
      <c r="H290" s="21" t="s">
        <v>16</v>
      </c>
      <c r="I290" s="21"/>
      <c r="J290" s="34">
        <v>66</v>
      </c>
      <c r="K290" s="34">
        <v>20</v>
      </c>
      <c r="L290" t="str">
        <f>IF('66'!$A$14="","",'66'!$A$14)</f>
        <v/>
      </c>
      <c r="M290" t="str">
        <f>IF('66'!$D$14="","",'66'!$D$14)</f>
        <v/>
      </c>
      <c r="N290" t="str">
        <f>IF('66'!$E$7="","",'66'!$E$7)</f>
        <v/>
      </c>
    </row>
    <row r="291" spans="1:14" hidden="1" x14ac:dyDescent="0.3">
      <c r="A291" s="20" t="s">
        <v>321</v>
      </c>
      <c r="B291" s="20" t="s">
        <v>1</v>
      </c>
      <c r="C291" s="25" t="s">
        <v>328</v>
      </c>
      <c r="E291" t="str">
        <f>IF(VLOOKUP(C291,'66'!$A$8:$B$11,2,FALSE)="Yes", "TRUE", "")</f>
        <v/>
      </c>
      <c r="F291" s="34">
        <v>0</v>
      </c>
      <c r="G291" s="34">
        <v>1</v>
      </c>
      <c r="H291" s="21" t="s">
        <v>16</v>
      </c>
      <c r="I291" s="21"/>
      <c r="J291" s="34">
        <v>66</v>
      </c>
      <c r="K291" s="34">
        <v>20</v>
      </c>
      <c r="L291" t="str">
        <f>IF('66'!$A$14="","",'66'!$A$14)</f>
        <v/>
      </c>
      <c r="M291" t="str">
        <f>IF('66'!$D$14="","",'66'!$D$14)</f>
        <v/>
      </c>
      <c r="N291" t="str">
        <f>IF('66'!$E$7="","",'66'!$E$7)</f>
        <v/>
      </c>
    </row>
    <row r="292" spans="1:14" hidden="1" x14ac:dyDescent="0.3">
      <c r="A292" s="20" t="s">
        <v>356</v>
      </c>
      <c r="B292" s="20" t="s">
        <v>375</v>
      </c>
      <c r="C292" s="20"/>
      <c r="D292">
        <v>-2</v>
      </c>
      <c r="E292" s="4" t="str">
        <f>IF(B292='67'!$C$2,"TRUE","")</f>
        <v/>
      </c>
      <c r="F292" s="35">
        <v>0</v>
      </c>
      <c r="G292" s="35">
        <v>0</v>
      </c>
      <c r="H292" s="21" t="s">
        <v>16</v>
      </c>
      <c r="I292" s="21"/>
      <c r="J292" s="34">
        <v>67</v>
      </c>
      <c r="K292" s="34">
        <v>21</v>
      </c>
      <c r="L292" t="str">
        <f>IF('67'!$A$18="","",'67'!$A$18)</f>
        <v/>
      </c>
      <c r="M292" t="str">
        <f>IF('67'!$E$18="","",'67'!$E$18)</f>
        <v/>
      </c>
      <c r="N292" t="str">
        <f>IF('67'!$F$2="","",'67'!$F$2)</f>
        <v/>
      </c>
    </row>
    <row r="293" spans="1:14" hidden="1" x14ac:dyDescent="0.3">
      <c r="A293" s="20" t="s">
        <v>356</v>
      </c>
      <c r="B293" s="20" t="s">
        <v>1</v>
      </c>
      <c r="C293" s="20" t="s">
        <v>170</v>
      </c>
      <c r="E293" t="str">
        <f>IF(VLOOKUP(C293,'67'!$B$3:$C$13,2,FALSE)="Yes", "TRUE", "")</f>
        <v/>
      </c>
      <c r="F293" s="35">
        <v>0</v>
      </c>
      <c r="G293" s="35">
        <v>0</v>
      </c>
      <c r="H293" s="21" t="s">
        <v>16</v>
      </c>
      <c r="I293" s="21"/>
      <c r="J293" s="34">
        <v>67</v>
      </c>
      <c r="K293" s="34">
        <v>21</v>
      </c>
      <c r="L293" t="str">
        <f>IF('67'!$A$18="","",'67'!$A$18)</f>
        <v/>
      </c>
      <c r="M293" t="str">
        <f>IF('67'!$E$18="","",'67'!$E$18)</f>
        <v/>
      </c>
      <c r="N293" t="str">
        <f>IF('67'!$F$2="","",'67'!$F$2)</f>
        <v/>
      </c>
    </row>
    <row r="294" spans="1:14" hidden="1" x14ac:dyDescent="0.3">
      <c r="A294" s="20" t="s">
        <v>356</v>
      </c>
      <c r="B294" s="20" t="s">
        <v>1</v>
      </c>
      <c r="C294" s="20" t="s">
        <v>171</v>
      </c>
      <c r="E294" t="str">
        <f>IF(VLOOKUP(C294,'67'!$B$3:$C$13,2,FALSE)="Yes", "TRUE", "")</f>
        <v/>
      </c>
      <c r="F294" s="35">
        <v>0</v>
      </c>
      <c r="G294" s="35">
        <v>0</v>
      </c>
      <c r="H294" s="21" t="s">
        <v>16</v>
      </c>
      <c r="I294" s="21"/>
      <c r="J294" s="34">
        <v>67</v>
      </c>
      <c r="K294" s="34">
        <v>21</v>
      </c>
      <c r="L294" t="str">
        <f>IF('67'!$A$18="","",'67'!$A$18)</f>
        <v/>
      </c>
      <c r="M294" t="str">
        <f>IF('67'!$E$18="","",'67'!$E$18)</f>
        <v/>
      </c>
      <c r="N294" t="str">
        <f>IF('67'!$F$2="","",'67'!$F$2)</f>
        <v/>
      </c>
    </row>
    <row r="295" spans="1:14" hidden="1" x14ac:dyDescent="0.3">
      <c r="A295" s="20" t="s">
        <v>356</v>
      </c>
      <c r="B295" s="20" t="s">
        <v>1</v>
      </c>
      <c r="C295" s="20" t="s">
        <v>172</v>
      </c>
      <c r="E295" t="str">
        <f>IF(VLOOKUP(C295,'67'!$B$3:$C$13,2,FALSE)="Yes", "TRUE", "")</f>
        <v/>
      </c>
      <c r="F295" s="35">
        <v>0</v>
      </c>
      <c r="G295" s="35">
        <v>0</v>
      </c>
      <c r="H295" s="21" t="s">
        <v>16</v>
      </c>
      <c r="I295" s="21"/>
      <c r="J295" s="34">
        <v>67</v>
      </c>
      <c r="K295" s="34">
        <v>21</v>
      </c>
      <c r="L295" t="str">
        <f>IF('67'!$A$18="","",'67'!$A$18)</f>
        <v/>
      </c>
      <c r="M295" t="str">
        <f>IF('67'!$E$18="","",'67'!$E$18)</f>
        <v/>
      </c>
      <c r="N295" t="str">
        <f>IF('67'!$F$2="","",'67'!$F$2)</f>
        <v/>
      </c>
    </row>
    <row r="296" spans="1:14" hidden="1" x14ac:dyDescent="0.3">
      <c r="A296" s="20" t="s">
        <v>356</v>
      </c>
      <c r="B296" s="20" t="s">
        <v>1</v>
      </c>
      <c r="C296" s="20" t="s">
        <v>173</v>
      </c>
      <c r="E296" t="str">
        <f>IF(VLOOKUP(LEFT(C296,255),'67'!$B$3:$C$13,2,FALSE)="Yes", "TRUE", "")</f>
        <v/>
      </c>
      <c r="F296" s="35">
        <v>0</v>
      </c>
      <c r="G296" s="35">
        <v>0</v>
      </c>
      <c r="H296" s="21" t="s">
        <v>16</v>
      </c>
      <c r="I296" s="21"/>
      <c r="J296" s="34">
        <v>67</v>
      </c>
      <c r="K296" s="34">
        <v>21</v>
      </c>
      <c r="L296" t="str">
        <f>IF('67'!$A$18="","",'67'!$A$18)</f>
        <v/>
      </c>
      <c r="M296" t="str">
        <f>IF('67'!$E$18="","",'67'!$E$18)</f>
        <v/>
      </c>
      <c r="N296" t="str">
        <f>IF('67'!$F$2="","",'67'!$F$2)</f>
        <v/>
      </c>
    </row>
    <row r="297" spans="1:14" hidden="1" x14ac:dyDescent="0.3">
      <c r="A297" s="20" t="s">
        <v>356</v>
      </c>
      <c r="B297" s="20" t="s">
        <v>1</v>
      </c>
      <c r="C297" s="20" t="s">
        <v>174</v>
      </c>
      <c r="E297" t="str">
        <f>IF(VLOOKUP(C297,'67'!$B$3:$C$13,2,FALSE)="Yes", "TRUE", "")</f>
        <v/>
      </c>
      <c r="F297" s="35">
        <v>0</v>
      </c>
      <c r="G297" s="35">
        <v>0</v>
      </c>
      <c r="H297" s="21" t="s">
        <v>16</v>
      </c>
      <c r="I297" s="21"/>
      <c r="J297" s="34">
        <v>67</v>
      </c>
      <c r="K297" s="34">
        <v>21</v>
      </c>
      <c r="L297" t="str">
        <f>IF('67'!$A$18="","",'67'!$A$18)</f>
        <v/>
      </c>
      <c r="M297" t="str">
        <f>IF('67'!$E$18="","",'67'!$E$18)</f>
        <v/>
      </c>
      <c r="N297" t="str">
        <f>IF('67'!$F$2="","",'67'!$F$2)</f>
        <v/>
      </c>
    </row>
    <row r="298" spans="1:14" hidden="1" x14ac:dyDescent="0.3">
      <c r="A298" s="20" t="s">
        <v>356</v>
      </c>
      <c r="B298" s="20" t="s">
        <v>1</v>
      </c>
      <c r="C298" s="20" t="s">
        <v>175</v>
      </c>
      <c r="E298" t="str">
        <f>IF(VLOOKUP(C298,'67'!$B$3:$C$13,2,FALSE)="Yes", "TRUE", "")</f>
        <v/>
      </c>
      <c r="F298" s="35">
        <v>0</v>
      </c>
      <c r="G298" s="35">
        <v>0</v>
      </c>
      <c r="H298" s="21" t="s">
        <v>16</v>
      </c>
      <c r="I298" s="21"/>
      <c r="J298" s="34">
        <v>67</v>
      </c>
      <c r="K298" s="34">
        <v>21</v>
      </c>
      <c r="L298" t="str">
        <f>IF('67'!$A$18="","",'67'!$A$18)</f>
        <v/>
      </c>
      <c r="M298" t="str">
        <f>IF('67'!$E$18="","",'67'!$E$18)</f>
        <v/>
      </c>
      <c r="N298" t="str">
        <f>IF('67'!$F$2="","",'67'!$F$2)</f>
        <v/>
      </c>
    </row>
    <row r="299" spans="1:14" hidden="1" x14ac:dyDescent="0.3">
      <c r="A299" s="20" t="s">
        <v>356</v>
      </c>
      <c r="B299" s="20" t="s">
        <v>1</v>
      </c>
      <c r="C299" s="20" t="s">
        <v>176</v>
      </c>
      <c r="E299" t="str">
        <f>IF(VLOOKUP(C299,'67'!$B$3:$C$13,2,FALSE)="Yes", "TRUE", "")</f>
        <v/>
      </c>
      <c r="F299" s="35">
        <v>0</v>
      </c>
      <c r="G299" s="35">
        <v>0</v>
      </c>
      <c r="H299" s="21" t="s">
        <v>16</v>
      </c>
      <c r="I299" s="21"/>
      <c r="J299" s="34">
        <v>67</v>
      </c>
      <c r="K299" s="34">
        <v>21</v>
      </c>
      <c r="L299" t="str">
        <f>IF('67'!$A$18="","",'67'!$A$18)</f>
        <v/>
      </c>
      <c r="M299" t="str">
        <f>IF('67'!$E$18="","",'67'!$E$18)</f>
        <v/>
      </c>
      <c r="N299" t="str">
        <f>IF('67'!$F$2="","",'67'!$F$2)</f>
        <v/>
      </c>
    </row>
    <row r="300" spans="1:14" hidden="1" x14ac:dyDescent="0.3">
      <c r="A300" s="20" t="s">
        <v>356</v>
      </c>
      <c r="B300" s="20" t="s">
        <v>1</v>
      </c>
      <c r="C300" s="20" t="s">
        <v>177</v>
      </c>
      <c r="E300" t="str">
        <f>IF(VLOOKUP(C300,'67'!$B$3:$C$13,2,FALSE)="Yes", "TRUE", "")</f>
        <v/>
      </c>
      <c r="F300" s="35">
        <v>0</v>
      </c>
      <c r="G300" s="35">
        <v>0</v>
      </c>
      <c r="H300" s="21" t="s">
        <v>16</v>
      </c>
      <c r="I300" s="21"/>
      <c r="J300" s="34">
        <v>67</v>
      </c>
      <c r="K300" s="34">
        <v>21</v>
      </c>
      <c r="L300" t="str">
        <f>IF('67'!$A$18="","",'67'!$A$18)</f>
        <v/>
      </c>
      <c r="M300" t="str">
        <f>IF('67'!$E$18="","",'67'!$E$18)</f>
        <v/>
      </c>
      <c r="N300" t="str">
        <f>IF('67'!$F$2="","",'67'!$F$2)</f>
        <v/>
      </c>
    </row>
    <row r="301" spans="1:14" hidden="1" x14ac:dyDescent="0.3">
      <c r="A301" s="20" t="s">
        <v>356</v>
      </c>
      <c r="B301" s="20" t="s">
        <v>1</v>
      </c>
      <c r="C301" s="20" t="s">
        <v>178</v>
      </c>
      <c r="E301" t="str">
        <f>IF(VLOOKUP(C301,'67'!$B$3:$C$13,2,FALSE)="Yes", "TRUE", "")</f>
        <v/>
      </c>
      <c r="F301" s="35">
        <v>0</v>
      </c>
      <c r="G301" s="35">
        <v>0</v>
      </c>
      <c r="H301" s="21" t="s">
        <v>16</v>
      </c>
      <c r="I301" s="21"/>
      <c r="J301" s="34">
        <v>67</v>
      </c>
      <c r="K301" s="34">
        <v>21</v>
      </c>
      <c r="L301" t="str">
        <f>IF('67'!$A$18="","",'67'!$A$18)</f>
        <v/>
      </c>
      <c r="M301" t="str">
        <f>IF('67'!$E$18="","",'67'!$E$18)</f>
        <v/>
      </c>
      <c r="N301" t="str">
        <f>IF('67'!$F$2="","",'67'!$F$2)</f>
        <v/>
      </c>
    </row>
    <row r="302" spans="1:14" hidden="1" x14ac:dyDescent="0.3">
      <c r="A302" s="20" t="s">
        <v>356</v>
      </c>
      <c r="B302" s="20" t="s">
        <v>1</v>
      </c>
      <c r="C302" s="57" t="s">
        <v>357</v>
      </c>
      <c r="E302" t="str">
        <f>IF(VLOOKUP(C302,'67'!$B$3:$C$13,2,FALSE)="Yes", "TRUE", "")</f>
        <v/>
      </c>
      <c r="F302" s="35">
        <v>0</v>
      </c>
      <c r="G302" s="35">
        <v>0</v>
      </c>
      <c r="H302" s="21" t="s">
        <v>16</v>
      </c>
      <c r="I302" s="21"/>
      <c r="J302" s="34">
        <v>67</v>
      </c>
      <c r="K302" s="34">
        <v>21</v>
      </c>
      <c r="L302" t="str">
        <f>IF('67'!$A$18="","",'67'!$A$18)</f>
        <v/>
      </c>
      <c r="M302" t="str">
        <f>IF('67'!$E$18="","",'67'!$E$18)</f>
        <v/>
      </c>
      <c r="N302" t="str">
        <f>IF('67'!$F$2="","",'67'!$F$2)</f>
        <v/>
      </c>
    </row>
    <row r="303" spans="1:14" hidden="1" x14ac:dyDescent="0.3">
      <c r="A303" s="20" t="s">
        <v>356</v>
      </c>
      <c r="B303" s="20" t="s">
        <v>1</v>
      </c>
      <c r="C303" s="33" t="s">
        <v>153</v>
      </c>
      <c r="E303" t="str">
        <f>IF(VLOOKUP(C303,'67'!$B$3:$C$13,2,FALSE)="Yes", "TRUE", "")</f>
        <v/>
      </c>
      <c r="F303" s="35">
        <v>0</v>
      </c>
      <c r="G303" s="35">
        <v>0</v>
      </c>
      <c r="H303" s="21" t="s">
        <v>16</v>
      </c>
      <c r="I303" s="21"/>
      <c r="J303" s="34">
        <v>67</v>
      </c>
      <c r="K303" s="34">
        <v>21</v>
      </c>
      <c r="L303" t="str">
        <f>IF('67'!$A$18="","",'67'!$A$18)</f>
        <v/>
      </c>
      <c r="M303" t="str">
        <f>IF('67'!$E$18="","",'67'!$E$18)</f>
        <v/>
      </c>
      <c r="N303" t="str">
        <f>IF('67'!$F$2="","",'67'!$F$2)</f>
        <v/>
      </c>
    </row>
    <row r="304" spans="1:14" hidden="1" x14ac:dyDescent="0.3">
      <c r="A304" s="20" t="s">
        <v>179</v>
      </c>
      <c r="B304" s="20" t="s">
        <v>375</v>
      </c>
      <c r="C304" s="20"/>
      <c r="D304">
        <v>-2</v>
      </c>
      <c r="E304" s="4" t="str">
        <f>IF(B304='67'!$C$14,"TRUE","")</f>
        <v/>
      </c>
      <c r="F304" s="35">
        <v>0</v>
      </c>
      <c r="G304" s="34">
        <v>2</v>
      </c>
      <c r="H304" s="21" t="s">
        <v>18</v>
      </c>
      <c r="I304" s="21"/>
      <c r="J304" s="34">
        <v>67</v>
      </c>
      <c r="K304" s="34">
        <v>21</v>
      </c>
      <c r="L304" t="str">
        <f>IF('67'!$A$18="","",'67'!$A$18)</f>
        <v/>
      </c>
      <c r="M304" t="str">
        <f>IF('67'!$E$18="","",'67'!$E$18)</f>
        <v/>
      </c>
      <c r="N304" t="str">
        <f>IF('67'!$F$14="","",'67'!$F$14)</f>
        <v/>
      </c>
    </row>
    <row r="305" spans="1:14" hidden="1" x14ac:dyDescent="0.3">
      <c r="A305" s="20" t="s">
        <v>179</v>
      </c>
      <c r="B305" s="20" t="s">
        <v>1</v>
      </c>
      <c r="C305" s="26" t="s">
        <v>42</v>
      </c>
      <c r="E305" s="4" t="str">
        <f>IF(C305='67'!$C$15,"TRUE","")</f>
        <v/>
      </c>
      <c r="F305" s="35">
        <v>0</v>
      </c>
      <c r="G305" s="34">
        <v>2</v>
      </c>
      <c r="H305" s="21" t="s">
        <v>18</v>
      </c>
      <c r="I305" s="21"/>
      <c r="J305" s="34">
        <v>67</v>
      </c>
      <c r="K305" s="34">
        <v>21</v>
      </c>
      <c r="L305" t="str">
        <f>IF('67'!$A$18="","",'67'!$A$18)</f>
        <v/>
      </c>
      <c r="M305" t="str">
        <f>IF('67'!$E$18="","",'67'!$E$18)</f>
        <v/>
      </c>
      <c r="N305" t="str">
        <f>IF('67'!$F$14="","",'67'!$F$14)</f>
        <v/>
      </c>
    </row>
    <row r="306" spans="1:14" hidden="1" x14ac:dyDescent="0.3">
      <c r="A306" s="20" t="s">
        <v>179</v>
      </c>
      <c r="B306" s="20" t="s">
        <v>1</v>
      </c>
      <c r="C306" s="26" t="s">
        <v>41</v>
      </c>
      <c r="E306" s="4" t="str">
        <f>IF(C306='67'!$C$15,"TRUE","")</f>
        <v/>
      </c>
      <c r="F306" s="35">
        <v>0</v>
      </c>
      <c r="G306" s="34">
        <v>2</v>
      </c>
      <c r="H306" s="21" t="s">
        <v>18</v>
      </c>
      <c r="I306" s="21"/>
      <c r="J306" s="34">
        <v>67</v>
      </c>
      <c r="K306" s="34">
        <v>21</v>
      </c>
      <c r="L306" t="str">
        <f>IF('67'!$A$18="","",'67'!$A$18)</f>
        <v/>
      </c>
      <c r="M306" t="str">
        <f>IF('67'!$E$18="","",'67'!$E$18)</f>
        <v/>
      </c>
      <c r="N306" t="str">
        <f>IF('67'!$F$14="","",'67'!$F$14)</f>
        <v/>
      </c>
    </row>
    <row r="307" spans="1:14" hidden="1" x14ac:dyDescent="0.3">
      <c r="A307" s="20" t="s">
        <v>179</v>
      </c>
      <c r="B307" s="20" t="s">
        <v>1</v>
      </c>
      <c r="C307" s="26" t="s">
        <v>40</v>
      </c>
      <c r="E307" s="4" t="str">
        <f>IF(C307='67'!$C$15,"TRUE","")</f>
        <v/>
      </c>
      <c r="F307" s="35">
        <v>0</v>
      </c>
      <c r="G307" s="34">
        <v>2</v>
      </c>
      <c r="H307" s="21" t="s">
        <v>18</v>
      </c>
      <c r="I307" s="21"/>
      <c r="J307" s="34">
        <v>67</v>
      </c>
      <c r="K307" s="34">
        <v>21</v>
      </c>
      <c r="L307" t="str">
        <f>IF('67'!$A$18="","",'67'!$A$18)</f>
        <v/>
      </c>
      <c r="M307" t="str">
        <f>IF('67'!$E$18="","",'67'!$E$18)</f>
        <v/>
      </c>
      <c r="N307" t="str">
        <f>IF('67'!$F$14="","",'67'!$F$14)</f>
        <v/>
      </c>
    </row>
    <row r="308" spans="1:14" hidden="1" x14ac:dyDescent="0.3">
      <c r="A308" s="20" t="s">
        <v>179</v>
      </c>
      <c r="B308" s="20" t="s">
        <v>1</v>
      </c>
      <c r="C308" s="26" t="s">
        <v>43</v>
      </c>
      <c r="E308" s="4" t="str">
        <f>IF(C308='67'!$C$15,"TRUE","")</f>
        <v/>
      </c>
      <c r="F308" s="35">
        <v>0</v>
      </c>
      <c r="G308" s="34">
        <v>2</v>
      </c>
      <c r="H308" s="21" t="s">
        <v>18</v>
      </c>
      <c r="I308" s="21"/>
      <c r="J308" s="34">
        <v>67</v>
      </c>
      <c r="K308" s="34">
        <v>21</v>
      </c>
      <c r="L308" t="str">
        <f>IF('67'!$A$18="","",'67'!$A$18)</f>
        <v/>
      </c>
      <c r="M308" t="str">
        <f>IF('67'!$E$18="","",'67'!$E$18)</f>
        <v/>
      </c>
      <c r="N308" t="str">
        <f>IF('67'!$F$14="","",'67'!$F$14)</f>
        <v/>
      </c>
    </row>
    <row r="309" spans="1:14" hidden="1" x14ac:dyDescent="0.3">
      <c r="A309" s="20" t="s">
        <v>179</v>
      </c>
      <c r="B309" s="20" t="s">
        <v>1</v>
      </c>
      <c r="C309" s="26" t="s">
        <v>44</v>
      </c>
      <c r="E309" s="4" t="str">
        <f>IF(C309='67'!$C$15,"TRUE","")</f>
        <v/>
      </c>
      <c r="F309" s="35">
        <v>0</v>
      </c>
      <c r="G309" s="34">
        <v>2</v>
      </c>
      <c r="H309" s="21" t="s">
        <v>18</v>
      </c>
      <c r="I309" s="21"/>
      <c r="J309" s="34">
        <v>67</v>
      </c>
      <c r="K309" s="34">
        <v>21</v>
      </c>
      <c r="L309" t="str">
        <f>IF('67'!$A$18="","",'67'!$A$18)</f>
        <v/>
      </c>
      <c r="M309" t="str">
        <f>IF('67'!$E$18="","",'67'!$E$18)</f>
        <v/>
      </c>
      <c r="N309" t="str">
        <f>IF('67'!$F$14="","",'67'!$F$14)</f>
        <v/>
      </c>
    </row>
    <row r="310" spans="1:14" hidden="1" x14ac:dyDescent="0.3">
      <c r="A310" t="s">
        <v>359</v>
      </c>
      <c r="B310" s="20" t="s">
        <v>375</v>
      </c>
      <c r="D310">
        <v>-2</v>
      </c>
      <c r="E310" s="4" t="str">
        <f>IF(B310='68'!$B$2,"TRUE","")</f>
        <v/>
      </c>
      <c r="F310" s="35">
        <v>0</v>
      </c>
      <c r="G310" s="17">
        <v>0</v>
      </c>
      <c r="H310" s="21" t="s">
        <v>18</v>
      </c>
      <c r="J310" s="17">
        <v>68</v>
      </c>
      <c r="K310" s="34">
        <v>22</v>
      </c>
      <c r="L310" t="str">
        <f>IF('68'!$A$9="","",'68'!$A$9)</f>
        <v/>
      </c>
      <c r="M310" t="str">
        <f>IF('68'!$D$9="","",'68'!$D$9)</f>
        <v/>
      </c>
      <c r="N310" t="str">
        <f>IF('68'!$D$2="","",'68'!$D$2)</f>
        <v/>
      </c>
    </row>
    <row r="311" spans="1:14" hidden="1" x14ac:dyDescent="0.3">
      <c r="A311" t="s">
        <v>359</v>
      </c>
      <c r="B311" s="20" t="s">
        <v>1</v>
      </c>
      <c r="C311" s="12" t="s">
        <v>360</v>
      </c>
      <c r="E311" s="4" t="str">
        <f>IF(C311='68'!$B$3,"TRUE","")</f>
        <v/>
      </c>
      <c r="F311" s="35">
        <v>0</v>
      </c>
      <c r="G311" s="17">
        <v>0</v>
      </c>
      <c r="H311" s="21" t="s">
        <v>18</v>
      </c>
      <c r="J311" s="17">
        <v>68</v>
      </c>
      <c r="K311" s="34">
        <v>22</v>
      </c>
      <c r="L311" t="str">
        <f>IF('68'!$A$9="","",'68'!$A$9)</f>
        <v/>
      </c>
      <c r="M311" t="str">
        <f>IF('68'!$D$9="","",'68'!$D$9)</f>
        <v/>
      </c>
      <c r="N311" t="str">
        <f>IF('68'!$D$2="","",'68'!$D$2)</f>
        <v/>
      </c>
    </row>
    <row r="312" spans="1:14" hidden="1" x14ac:dyDescent="0.3">
      <c r="A312" t="s">
        <v>359</v>
      </c>
      <c r="B312" s="20" t="s">
        <v>1</v>
      </c>
      <c r="C312" s="12" t="s">
        <v>361</v>
      </c>
      <c r="E312" s="4" t="str">
        <f>IF(C312='68'!$B$3,"TRUE","")</f>
        <v/>
      </c>
      <c r="F312" s="35">
        <v>0</v>
      </c>
      <c r="G312" s="17">
        <v>0</v>
      </c>
      <c r="H312" s="21" t="s">
        <v>18</v>
      </c>
      <c r="J312" s="17">
        <v>68</v>
      </c>
      <c r="K312" s="34">
        <v>22</v>
      </c>
      <c r="L312" t="str">
        <f>IF('68'!$A$9="","",'68'!$A$9)</f>
        <v/>
      </c>
      <c r="M312" t="str">
        <f>IF('68'!$D$9="","",'68'!$D$9)</f>
        <v/>
      </c>
      <c r="N312" t="str">
        <f>IF('68'!$D$2="","",'68'!$D$2)</f>
        <v/>
      </c>
    </row>
    <row r="313" spans="1:14" ht="28.8" hidden="1" x14ac:dyDescent="0.3">
      <c r="A313" t="s">
        <v>359</v>
      </c>
      <c r="B313" s="20" t="s">
        <v>1</v>
      </c>
      <c r="C313" s="12" t="s">
        <v>362</v>
      </c>
      <c r="E313" s="4" t="str">
        <f>IF(C313='68'!$B$3,"TRUE","")</f>
        <v/>
      </c>
      <c r="F313" s="35">
        <v>0</v>
      </c>
      <c r="G313" s="17">
        <v>0</v>
      </c>
      <c r="H313" s="21" t="s">
        <v>18</v>
      </c>
      <c r="J313" s="17">
        <v>68</v>
      </c>
      <c r="K313" s="34">
        <v>22</v>
      </c>
      <c r="L313" t="str">
        <f>IF('68'!$A$9="","",'68'!$A$9)</f>
        <v/>
      </c>
      <c r="M313" t="str">
        <f>IF('68'!$D$9="","",'68'!$D$9)</f>
        <v/>
      </c>
      <c r="N313" t="str">
        <f>IF('68'!$D$2="","",'68'!$D$2)</f>
        <v/>
      </c>
    </row>
    <row r="314" spans="1:14" hidden="1" x14ac:dyDescent="0.3">
      <c r="A314" t="s">
        <v>359</v>
      </c>
      <c r="B314" s="20" t="s">
        <v>1</v>
      </c>
      <c r="C314" s="12" t="s">
        <v>363</v>
      </c>
      <c r="E314" s="4" t="str">
        <f>IF(C314='68'!$B$3,"TRUE","")</f>
        <v/>
      </c>
      <c r="F314" s="35">
        <v>0</v>
      </c>
      <c r="G314" s="17">
        <v>0</v>
      </c>
      <c r="H314" s="21" t="s">
        <v>18</v>
      </c>
      <c r="J314" s="17">
        <v>68</v>
      </c>
      <c r="K314" s="34">
        <v>22</v>
      </c>
      <c r="L314" t="str">
        <f>IF('68'!$A$9="","",'68'!$A$9)</f>
        <v/>
      </c>
      <c r="M314" t="str">
        <f>IF('68'!$D$9="","",'68'!$D$9)</f>
        <v/>
      </c>
      <c r="N314" t="str">
        <f>IF('68'!$D$2="","",'68'!$D$2)</f>
        <v/>
      </c>
    </row>
    <row r="315" spans="1:14" hidden="1" x14ac:dyDescent="0.3">
      <c r="A315" t="s">
        <v>359</v>
      </c>
      <c r="B315" s="20" t="s">
        <v>1</v>
      </c>
      <c r="C315" s="12" t="s">
        <v>364</v>
      </c>
      <c r="E315" s="4" t="str">
        <f>IF(C315='68'!$B$3,"TRUE","")</f>
        <v/>
      </c>
      <c r="F315" s="35">
        <v>0</v>
      </c>
      <c r="G315" s="17">
        <v>0</v>
      </c>
      <c r="H315" s="21" t="s">
        <v>18</v>
      </c>
      <c r="J315" s="17">
        <v>68</v>
      </c>
      <c r="K315" s="34">
        <v>22</v>
      </c>
      <c r="L315" t="str">
        <f>IF('68'!$A$9="","",'68'!$A$9)</f>
        <v/>
      </c>
      <c r="M315" t="str">
        <f>IF('68'!$D$9="","",'68'!$D$9)</f>
        <v/>
      </c>
      <c r="N315" t="str">
        <f>IF('68'!$D$2="","",'68'!$D$2)</f>
        <v/>
      </c>
    </row>
    <row r="316" spans="1:14" hidden="1" x14ac:dyDescent="0.3">
      <c r="A316" t="s">
        <v>359</v>
      </c>
      <c r="B316" s="20" t="s">
        <v>1</v>
      </c>
      <c r="C316" s="12" t="s">
        <v>365</v>
      </c>
      <c r="E316" s="4" t="str">
        <f>IF(C316='68'!$B$3,"TRUE","")</f>
        <v/>
      </c>
      <c r="F316" s="35">
        <v>0</v>
      </c>
      <c r="G316" s="17">
        <v>0</v>
      </c>
      <c r="H316" s="21" t="s">
        <v>18</v>
      </c>
      <c r="J316" s="17">
        <v>68</v>
      </c>
      <c r="K316" s="34">
        <v>22</v>
      </c>
      <c r="L316" t="str">
        <f>IF('68'!$A$9="","",'68'!$A$9)</f>
        <v/>
      </c>
      <c r="M316" t="str">
        <f>IF('68'!$D$9="","",'68'!$D$9)</f>
        <v/>
      </c>
      <c r="N316" t="str">
        <f>IF('68'!$D$2="","",'68'!$D$2)</f>
        <v/>
      </c>
    </row>
    <row r="317" spans="1:14" hidden="1" x14ac:dyDescent="0.3">
      <c r="A317" t="s">
        <v>366</v>
      </c>
      <c r="B317" s="20" t="s">
        <v>375</v>
      </c>
      <c r="D317">
        <v>-2</v>
      </c>
      <c r="E317" s="4" t="str">
        <f>IF(B317='68'!$B$5,"TRUE","")</f>
        <v/>
      </c>
      <c r="F317" s="35">
        <v>0</v>
      </c>
      <c r="G317" s="17">
        <v>1</v>
      </c>
      <c r="H317" s="21" t="s">
        <v>18</v>
      </c>
      <c r="J317" s="17">
        <v>68</v>
      </c>
      <c r="K317" s="34">
        <v>22</v>
      </c>
      <c r="L317" t="str">
        <f>IF('68'!$A$9="","",'68'!$A$9)</f>
        <v/>
      </c>
      <c r="M317" t="str">
        <f>IF('68'!$D$9="","",'68'!$D$9)</f>
        <v/>
      </c>
      <c r="N317" t="str">
        <f>IF('68'!$D$5="","",'68'!$D$5)</f>
        <v/>
      </c>
    </row>
    <row r="318" spans="1:14" hidden="1" x14ac:dyDescent="0.3">
      <c r="A318" t="s">
        <v>366</v>
      </c>
      <c r="B318" s="20" t="s">
        <v>1</v>
      </c>
      <c r="C318" s="12" t="s">
        <v>367</v>
      </c>
      <c r="E318" s="4" t="str">
        <f>IF(C318='68'!$B$6,"TRUE","")</f>
        <v/>
      </c>
      <c r="F318" s="35">
        <v>0</v>
      </c>
      <c r="G318" s="17">
        <v>1</v>
      </c>
      <c r="H318" s="21" t="s">
        <v>18</v>
      </c>
      <c r="J318" s="17">
        <v>68</v>
      </c>
      <c r="K318" s="34">
        <v>22</v>
      </c>
      <c r="L318" t="str">
        <f>IF('68'!$A$9="","",'68'!$A$9)</f>
        <v/>
      </c>
      <c r="M318" t="str">
        <f>IF('68'!$D$9="","",'68'!$D$9)</f>
        <v/>
      </c>
      <c r="N318" t="str">
        <f>IF('68'!$D$5="","",'68'!$D$5)</f>
        <v/>
      </c>
    </row>
    <row r="319" spans="1:14" hidden="1" x14ac:dyDescent="0.3">
      <c r="A319" t="s">
        <v>366</v>
      </c>
      <c r="B319" s="20" t="s">
        <v>1</v>
      </c>
      <c r="C319" s="12" t="s">
        <v>368</v>
      </c>
      <c r="E319" s="4" t="str">
        <f>IF(C319='68'!$B$6,"TRUE","")</f>
        <v/>
      </c>
      <c r="F319" s="35">
        <v>0</v>
      </c>
      <c r="G319" s="17">
        <v>1</v>
      </c>
      <c r="H319" s="21" t="s">
        <v>18</v>
      </c>
      <c r="J319" s="17">
        <v>68</v>
      </c>
      <c r="K319" s="34">
        <v>22</v>
      </c>
      <c r="L319" t="str">
        <f>IF('68'!$A$9="","",'68'!$A$9)</f>
        <v/>
      </c>
      <c r="M319" t="str">
        <f>IF('68'!$D$9="","",'68'!$D$9)</f>
        <v/>
      </c>
      <c r="N319" t="str">
        <f>IF('68'!$D$5="","",'68'!$D$5)</f>
        <v/>
      </c>
    </row>
    <row r="320" spans="1:14" hidden="1" x14ac:dyDescent="0.3">
      <c r="A320" t="s">
        <v>366</v>
      </c>
      <c r="B320" s="20" t="s">
        <v>1</v>
      </c>
      <c r="C320" s="12" t="s">
        <v>369</v>
      </c>
      <c r="E320" s="4" t="str">
        <f>IF(C320='68'!$B$6,"TRUE","")</f>
        <v/>
      </c>
      <c r="F320" s="35">
        <v>0</v>
      </c>
      <c r="G320" s="17">
        <v>1</v>
      </c>
      <c r="H320" s="21" t="s">
        <v>18</v>
      </c>
      <c r="J320" s="17">
        <v>68</v>
      </c>
      <c r="K320" s="34">
        <v>22</v>
      </c>
      <c r="L320" t="str">
        <f>IF('68'!$A$9="","",'68'!$A$9)</f>
        <v/>
      </c>
      <c r="M320" t="str">
        <f>IF('68'!$D$9="","",'68'!$D$9)</f>
        <v/>
      </c>
      <c r="N320" t="str">
        <f>IF('68'!$D$5="","",'68'!$D$5)</f>
        <v/>
      </c>
    </row>
    <row r="321" spans="1:14" ht="43.2" hidden="1" x14ac:dyDescent="0.3">
      <c r="A321" t="s">
        <v>366</v>
      </c>
      <c r="B321" s="20" t="s">
        <v>1</v>
      </c>
      <c r="C321" s="12" t="s">
        <v>370</v>
      </c>
      <c r="E321" s="4" t="str">
        <f>IF(C321='68'!$B$6,"TRUE","")</f>
        <v/>
      </c>
      <c r="F321" s="35">
        <v>0</v>
      </c>
      <c r="G321" s="17">
        <v>1</v>
      </c>
      <c r="H321" s="21" t="s">
        <v>18</v>
      </c>
      <c r="J321" s="17">
        <v>68</v>
      </c>
      <c r="K321" s="34">
        <v>22</v>
      </c>
      <c r="L321" t="str">
        <f>IF('68'!$A$9="","",'68'!$A$9)</f>
        <v/>
      </c>
      <c r="M321" t="str">
        <f>IF('68'!$D$9="","",'68'!$D$9)</f>
        <v/>
      </c>
      <c r="N321" t="str">
        <f>IF('68'!$D$5="","",'68'!$D$5)</f>
        <v/>
      </c>
    </row>
    <row r="322" spans="1:14" hidden="1" x14ac:dyDescent="0.3">
      <c r="A322" t="s">
        <v>366</v>
      </c>
      <c r="B322" s="20" t="s">
        <v>1</v>
      </c>
      <c r="C322" s="11" t="s">
        <v>371</v>
      </c>
      <c r="E322" s="4" t="str">
        <f>IF(C322='68'!$B$6,"TRUE","")</f>
        <v/>
      </c>
      <c r="F322" s="35">
        <v>0</v>
      </c>
      <c r="G322" s="17">
        <v>1</v>
      </c>
      <c r="H322" s="21" t="s">
        <v>18</v>
      </c>
      <c r="J322" s="17">
        <v>68</v>
      </c>
      <c r="K322" s="34">
        <v>22</v>
      </c>
      <c r="L322" t="str">
        <f>IF('68'!$A$9="","",'68'!$A$9)</f>
        <v/>
      </c>
      <c r="M322" t="str">
        <f>IF('68'!$D$9="","",'68'!$D$9)</f>
        <v/>
      </c>
      <c r="N322" t="str">
        <f>IF('68'!$D$5="","",'68'!$D$5)</f>
        <v/>
      </c>
    </row>
    <row r="323" spans="1:14" ht="28.8" hidden="1" x14ac:dyDescent="0.3">
      <c r="A323" t="s">
        <v>366</v>
      </c>
      <c r="B323" s="20" t="s">
        <v>1</v>
      </c>
      <c r="C323" s="12" t="s">
        <v>372</v>
      </c>
      <c r="E323" s="4" t="str">
        <f>IF(C323='68'!$B$6,"TRUE","")</f>
        <v/>
      </c>
      <c r="F323" s="35">
        <v>0</v>
      </c>
      <c r="G323" s="17">
        <v>1</v>
      </c>
      <c r="H323" s="21" t="s">
        <v>18</v>
      </c>
      <c r="J323" s="17">
        <v>68</v>
      </c>
      <c r="K323" s="34">
        <v>22</v>
      </c>
      <c r="L323" t="str">
        <f>IF('68'!$A$9="","",'68'!$A$9)</f>
        <v/>
      </c>
      <c r="M323" t="str">
        <f>IF('68'!$D$9="","",'68'!$D$9)</f>
        <v/>
      </c>
      <c r="N323" t="str">
        <f>IF('68'!$D$5="","",'68'!$D$5)</f>
        <v/>
      </c>
    </row>
    <row r="324" spans="1:14" hidden="1" x14ac:dyDescent="0.3">
      <c r="A324" t="s">
        <v>373</v>
      </c>
      <c r="B324" s="20" t="s">
        <v>375</v>
      </c>
      <c r="D324">
        <v>-2</v>
      </c>
      <c r="E324" s="4" t="str">
        <f>IF(B324='69'!$B$2,"TRUE","")</f>
        <v/>
      </c>
      <c r="F324" s="35">
        <v>0</v>
      </c>
      <c r="G324" s="17">
        <v>0</v>
      </c>
      <c r="H324" s="21" t="s">
        <v>18</v>
      </c>
      <c r="J324" s="17">
        <v>69</v>
      </c>
      <c r="K324" s="17">
        <v>23</v>
      </c>
      <c r="L324" t="str">
        <f>IF('69'!$A$12="","",'69'!$A$12)</f>
        <v/>
      </c>
      <c r="M324" t="str">
        <f>IF('69'!$D$12="","",'69'!$D$12)</f>
        <v/>
      </c>
      <c r="N324" t="str">
        <f>IF('69'!$D$2="","",'69'!$D$2)</f>
        <v/>
      </c>
    </row>
    <row r="325" spans="1:14" hidden="1" x14ac:dyDescent="0.3">
      <c r="A325" t="s">
        <v>373</v>
      </c>
      <c r="B325" s="20" t="s">
        <v>1</v>
      </c>
      <c r="C325" s="12" t="s">
        <v>42</v>
      </c>
      <c r="E325" s="4" t="str">
        <f>IF(C325='69'!$B$3,"TRUE","")</f>
        <v/>
      </c>
      <c r="F325" s="35">
        <v>0</v>
      </c>
      <c r="G325" s="17">
        <v>0</v>
      </c>
      <c r="H325" s="21" t="s">
        <v>18</v>
      </c>
      <c r="J325" s="17">
        <v>69</v>
      </c>
      <c r="K325" s="17">
        <v>23</v>
      </c>
      <c r="L325" t="str">
        <f>IF('69'!$A$12="","",'69'!$A$12)</f>
        <v/>
      </c>
      <c r="M325" t="str">
        <f>IF('69'!$D$12="","",'69'!$D$12)</f>
        <v/>
      </c>
      <c r="N325" t="str">
        <f>IF('69'!$D$2="","",'69'!$D$2)</f>
        <v/>
      </c>
    </row>
    <row r="326" spans="1:14" hidden="1" x14ac:dyDescent="0.3">
      <c r="A326" t="s">
        <v>373</v>
      </c>
      <c r="B326" s="20" t="s">
        <v>1</v>
      </c>
      <c r="C326" s="12" t="s">
        <v>41</v>
      </c>
      <c r="E326" s="4" t="str">
        <f>IF(C326='69'!$B$3,"TRUE","")</f>
        <v/>
      </c>
      <c r="F326" s="35">
        <v>0</v>
      </c>
      <c r="G326" s="17">
        <v>0</v>
      </c>
      <c r="H326" s="21" t="s">
        <v>18</v>
      </c>
      <c r="J326" s="17">
        <v>69</v>
      </c>
      <c r="K326" s="17">
        <v>23</v>
      </c>
      <c r="L326" t="str">
        <f>IF('69'!$A$12="","",'69'!$A$12)</f>
        <v/>
      </c>
      <c r="M326" t="str">
        <f>IF('69'!$D$12="","",'69'!$D$12)</f>
        <v/>
      </c>
      <c r="N326" t="str">
        <f>IF('69'!$D$2="","",'69'!$D$2)</f>
        <v/>
      </c>
    </row>
    <row r="327" spans="1:14" hidden="1" x14ac:dyDescent="0.3">
      <c r="A327" t="s">
        <v>373</v>
      </c>
      <c r="B327" s="20" t="s">
        <v>1</v>
      </c>
      <c r="C327" s="12" t="s">
        <v>40</v>
      </c>
      <c r="E327" s="4" t="str">
        <f>IF(C327='69'!$B$3,"TRUE","")</f>
        <v/>
      </c>
      <c r="F327" s="35">
        <v>0</v>
      </c>
      <c r="G327" s="17">
        <v>0</v>
      </c>
      <c r="H327" s="21" t="s">
        <v>18</v>
      </c>
      <c r="J327" s="17">
        <v>69</v>
      </c>
      <c r="K327" s="17">
        <v>23</v>
      </c>
      <c r="L327" t="str">
        <f>IF('69'!$A$12="","",'69'!$A$12)</f>
        <v/>
      </c>
      <c r="M327" t="str">
        <f>IF('69'!$D$12="","",'69'!$D$12)</f>
        <v/>
      </c>
      <c r="N327" t="str">
        <f>IF('69'!$D$2="","",'69'!$D$2)</f>
        <v/>
      </c>
    </row>
    <row r="328" spans="1:14" hidden="1" x14ac:dyDescent="0.3">
      <c r="A328" t="s">
        <v>373</v>
      </c>
      <c r="B328" s="20" t="s">
        <v>1</v>
      </c>
      <c r="C328" s="12" t="s">
        <v>43</v>
      </c>
      <c r="E328" s="4" t="str">
        <f>IF(C328='69'!$B$3,"TRUE","")</f>
        <v/>
      </c>
      <c r="F328" s="35">
        <v>0</v>
      </c>
      <c r="G328" s="17">
        <v>0</v>
      </c>
      <c r="H328" s="21" t="s">
        <v>18</v>
      </c>
      <c r="J328" s="17">
        <v>69</v>
      </c>
      <c r="K328" s="17">
        <v>23</v>
      </c>
      <c r="L328" t="str">
        <f>IF('69'!$A$12="","",'69'!$A$12)</f>
        <v/>
      </c>
      <c r="M328" t="str">
        <f>IF('69'!$D$12="","",'69'!$D$12)</f>
        <v/>
      </c>
      <c r="N328" t="str">
        <f>IF('69'!$D$2="","",'69'!$D$2)</f>
        <v/>
      </c>
    </row>
    <row r="329" spans="1:14" hidden="1" x14ac:dyDescent="0.3">
      <c r="A329" t="s">
        <v>373</v>
      </c>
      <c r="B329" s="20" t="s">
        <v>1</v>
      </c>
      <c r="C329" s="12" t="s">
        <v>44</v>
      </c>
      <c r="E329" s="4" t="str">
        <f>IF(C329='69'!$B$3,"TRUE","")</f>
        <v/>
      </c>
      <c r="F329" s="35">
        <v>0</v>
      </c>
      <c r="G329" s="17">
        <v>0</v>
      </c>
      <c r="H329" s="21" t="s">
        <v>18</v>
      </c>
      <c r="J329" s="17">
        <v>69</v>
      </c>
      <c r="K329" s="17">
        <v>23</v>
      </c>
      <c r="L329" t="str">
        <f>IF('69'!$A$12="","",'69'!$A$12)</f>
        <v/>
      </c>
      <c r="M329" t="str">
        <f>IF('69'!$D$12="","",'69'!$D$12)</f>
        <v/>
      </c>
      <c r="N329" t="str">
        <f>IF('69'!$D$2="","",'69'!$D$2)</f>
        <v/>
      </c>
    </row>
    <row r="330" spans="1:14" hidden="1" x14ac:dyDescent="0.3">
      <c r="A330" t="s">
        <v>197</v>
      </c>
      <c r="B330" s="20" t="s">
        <v>375</v>
      </c>
      <c r="D330">
        <v>-2</v>
      </c>
      <c r="E330" s="4" t="str">
        <f>IF(B330='69'!$B$5,"TRUE","")</f>
        <v/>
      </c>
      <c r="F330" s="35">
        <v>0</v>
      </c>
      <c r="G330" s="17">
        <v>2</v>
      </c>
      <c r="H330" s="21" t="s">
        <v>18</v>
      </c>
      <c r="J330" s="17">
        <v>69</v>
      </c>
      <c r="K330" s="17">
        <v>23</v>
      </c>
      <c r="L330" t="str">
        <f>IF('69'!$A$12="","",'69'!$A$12)</f>
        <v/>
      </c>
      <c r="M330" t="str">
        <f>IF('69'!$D$12="","",'69'!$D$12)</f>
        <v/>
      </c>
      <c r="N330" t="str">
        <f>IF('69'!$D$5="","",'69'!$D$5)</f>
        <v/>
      </c>
    </row>
    <row r="331" spans="1:14" hidden="1" x14ac:dyDescent="0.3">
      <c r="A331" t="s">
        <v>197</v>
      </c>
      <c r="B331" s="20" t="s">
        <v>1</v>
      </c>
      <c r="C331" s="12" t="s">
        <v>20</v>
      </c>
      <c r="E331" s="4" t="str">
        <f>IF(C331='69'!$B$6,"TRUE","")</f>
        <v/>
      </c>
      <c r="F331" s="35">
        <v>0</v>
      </c>
      <c r="G331" s="17">
        <v>2</v>
      </c>
      <c r="H331" s="21" t="s">
        <v>18</v>
      </c>
      <c r="J331" s="17">
        <v>69</v>
      </c>
      <c r="K331" s="17">
        <v>23</v>
      </c>
      <c r="L331" t="str">
        <f>IF('69'!$A$12="","",'69'!$A$12)</f>
        <v/>
      </c>
      <c r="M331" t="str">
        <f>IF('69'!$D$12="","",'69'!$D$12)</f>
        <v/>
      </c>
      <c r="N331" t="str">
        <f>IF('69'!$D$5="","",'69'!$D$5)</f>
        <v/>
      </c>
    </row>
    <row r="332" spans="1:14" hidden="1" x14ac:dyDescent="0.3">
      <c r="A332" t="s">
        <v>197</v>
      </c>
      <c r="B332" s="20" t="s">
        <v>1</v>
      </c>
      <c r="C332" s="12" t="s">
        <v>199</v>
      </c>
      <c r="E332" s="4" t="str">
        <f>IF(C332='69'!$B$6,"TRUE","")</f>
        <v/>
      </c>
      <c r="F332" s="35">
        <v>0</v>
      </c>
      <c r="G332" s="17">
        <v>2</v>
      </c>
      <c r="H332" s="21" t="s">
        <v>18</v>
      </c>
      <c r="J332" s="17">
        <v>69</v>
      </c>
      <c r="K332" s="17">
        <v>23</v>
      </c>
      <c r="L332" t="str">
        <f>IF('69'!$A$12="","",'69'!$A$12)</f>
        <v/>
      </c>
      <c r="M332" t="str">
        <f>IF('69'!$D$12="","",'69'!$D$12)</f>
        <v/>
      </c>
      <c r="N332" t="str">
        <f>IF('69'!$D$5="","",'69'!$D$5)</f>
        <v/>
      </c>
    </row>
    <row r="333" spans="1:14" hidden="1" x14ac:dyDescent="0.3">
      <c r="A333" t="s">
        <v>197</v>
      </c>
      <c r="B333" s="20" t="s">
        <v>1</v>
      </c>
      <c r="C333" s="12" t="s">
        <v>39</v>
      </c>
      <c r="E333" s="4" t="str">
        <f>IF(C333='69'!$B$6,"TRUE","")</f>
        <v/>
      </c>
      <c r="F333" s="35">
        <v>0</v>
      </c>
      <c r="G333" s="17">
        <v>2</v>
      </c>
      <c r="H333" s="21" t="s">
        <v>18</v>
      </c>
      <c r="J333" s="17">
        <v>69</v>
      </c>
      <c r="K333" s="17">
        <v>23</v>
      </c>
      <c r="L333" t="str">
        <f>IF('69'!$A$12="","",'69'!$A$12)</f>
        <v/>
      </c>
      <c r="M333" t="str">
        <f>IF('69'!$D$12="","",'69'!$D$12)</f>
        <v/>
      </c>
      <c r="N333" t="str">
        <f>IF('69'!$D$5="","",'69'!$D$5)</f>
        <v/>
      </c>
    </row>
    <row r="334" spans="1:14" hidden="1" x14ac:dyDescent="0.3">
      <c r="A334" t="s">
        <v>198</v>
      </c>
      <c r="B334" s="20" t="s">
        <v>375</v>
      </c>
      <c r="D334">
        <v>-2</v>
      </c>
      <c r="E334" s="4" t="str">
        <f>IF(B334='69'!$B$8,"TRUE","")</f>
        <v/>
      </c>
      <c r="F334" s="35">
        <v>0</v>
      </c>
      <c r="G334" s="17">
        <v>3</v>
      </c>
      <c r="H334" s="21" t="s">
        <v>18</v>
      </c>
      <c r="J334" s="17">
        <v>69</v>
      </c>
      <c r="K334" s="17">
        <v>23</v>
      </c>
      <c r="L334" t="str">
        <f>IF('69'!$A$12="","",'69'!$A$12)</f>
        <v/>
      </c>
      <c r="M334" t="str">
        <f>IF('69'!$D$12="","",'69'!$D$12)</f>
        <v/>
      </c>
      <c r="N334" t="str">
        <f>IF('69'!$D$8="","",'69'!$D$8)</f>
        <v/>
      </c>
    </row>
    <row r="335" spans="1:14" hidden="1" x14ac:dyDescent="0.3">
      <c r="A335" t="s">
        <v>198</v>
      </c>
      <c r="B335" s="20" t="s">
        <v>1</v>
      </c>
      <c r="C335" s="12" t="s">
        <v>388</v>
      </c>
      <c r="E335" s="4" t="str">
        <f>IF(C335='69'!$B$9,"TRUE","")</f>
        <v/>
      </c>
      <c r="F335" s="35">
        <v>0</v>
      </c>
      <c r="G335" s="17">
        <v>3</v>
      </c>
      <c r="H335" s="21" t="s">
        <v>18</v>
      </c>
      <c r="J335" s="17">
        <v>69</v>
      </c>
      <c r="K335" s="17">
        <v>23</v>
      </c>
      <c r="L335" t="str">
        <f>IF('69'!$A$12="","",'69'!$A$12)</f>
        <v/>
      </c>
      <c r="M335" t="str">
        <f>IF('69'!$D$12="","",'69'!$D$12)</f>
        <v/>
      </c>
      <c r="N335" t="str">
        <f>IF('69'!$D$8="","",'69'!$D$8)</f>
        <v/>
      </c>
    </row>
    <row r="336" spans="1:14" hidden="1" x14ac:dyDescent="0.3">
      <c r="A336" t="s">
        <v>198</v>
      </c>
      <c r="B336" s="20" t="s">
        <v>1</v>
      </c>
      <c r="C336" s="12" t="s">
        <v>200</v>
      </c>
      <c r="E336" s="4" t="str">
        <f>IF(C336='69'!$B$9,"TRUE","")</f>
        <v/>
      </c>
      <c r="F336" s="35">
        <v>0</v>
      </c>
      <c r="G336" s="17">
        <v>3</v>
      </c>
      <c r="H336" s="21" t="s">
        <v>18</v>
      </c>
      <c r="J336" s="17">
        <v>69</v>
      </c>
      <c r="K336" s="17">
        <v>23</v>
      </c>
      <c r="L336" t="str">
        <f>IF('69'!$A$12="","",'69'!$A$12)</f>
        <v/>
      </c>
      <c r="M336" t="str">
        <f>IF('69'!$D$12="","",'69'!$D$12)</f>
        <v/>
      </c>
      <c r="N336" t="str">
        <f>IF('69'!$D$8="","",'69'!$D$8)</f>
        <v/>
      </c>
    </row>
    <row r="337" spans="1:14" hidden="1" x14ac:dyDescent="0.3">
      <c r="A337" t="s">
        <v>198</v>
      </c>
      <c r="B337" s="20" t="s">
        <v>1</v>
      </c>
      <c r="C337" s="12" t="s">
        <v>201</v>
      </c>
      <c r="E337" s="4" t="str">
        <f>IF(C337='69'!$B$9,"TRUE","")</f>
        <v/>
      </c>
      <c r="F337" s="35">
        <v>0</v>
      </c>
      <c r="G337" s="17">
        <v>3</v>
      </c>
      <c r="H337" s="21" t="s">
        <v>18</v>
      </c>
      <c r="J337" s="17">
        <v>69</v>
      </c>
      <c r="K337" s="17">
        <v>23</v>
      </c>
      <c r="L337" t="str">
        <f>IF('69'!$A$12="","",'69'!$A$12)</f>
        <v/>
      </c>
      <c r="M337" t="str">
        <f>IF('69'!$D$12="","",'69'!$D$12)</f>
        <v/>
      </c>
      <c r="N337" t="str">
        <f>IF('69'!$D$8="","",'69'!$D$8)</f>
        <v/>
      </c>
    </row>
    <row r="338" spans="1:14" hidden="1" x14ac:dyDescent="0.3">
      <c r="A338" t="s">
        <v>198</v>
      </c>
      <c r="B338" s="20" t="s">
        <v>1</v>
      </c>
      <c r="C338" s="12" t="s">
        <v>202</v>
      </c>
      <c r="E338" s="4" t="str">
        <f>IF(C338='69'!$B$9,"TRUE","")</f>
        <v/>
      </c>
      <c r="F338" s="35">
        <v>0</v>
      </c>
      <c r="G338" s="17">
        <v>3</v>
      </c>
      <c r="H338" s="21" t="s">
        <v>18</v>
      </c>
      <c r="J338" s="17">
        <v>69</v>
      </c>
      <c r="K338" s="17">
        <v>23</v>
      </c>
      <c r="L338" t="str">
        <f>IF('69'!$A$12="","",'69'!$A$12)</f>
        <v/>
      </c>
      <c r="M338" t="str">
        <f>IF('69'!$D$12="","",'69'!$D$12)</f>
        <v/>
      </c>
      <c r="N338" t="str">
        <f>IF('69'!$D$8="","",'69'!$D$8)</f>
        <v/>
      </c>
    </row>
    <row r="339" spans="1:14" hidden="1" x14ac:dyDescent="0.3">
      <c r="A339" t="s">
        <v>204</v>
      </c>
      <c r="B339" s="20" t="s">
        <v>375</v>
      </c>
      <c r="D339">
        <v>-2</v>
      </c>
      <c r="E339" s="4" t="str">
        <f>IF(B339='60'!$B$2,"TRUE","")</f>
        <v/>
      </c>
      <c r="F339" s="35">
        <v>0</v>
      </c>
      <c r="G339" s="17">
        <v>0</v>
      </c>
      <c r="H339" s="21" t="s">
        <v>18</v>
      </c>
      <c r="J339" s="17">
        <v>60</v>
      </c>
      <c r="K339" s="17">
        <v>17</v>
      </c>
      <c r="L339" t="str">
        <f>IF('60'!$A$21="","",'60'!$A$21)</f>
        <v/>
      </c>
      <c r="M339" t="str">
        <f>IF('60'!$D$21="","",'60'!$D$21)</f>
        <v/>
      </c>
      <c r="N339" t="str">
        <f>IF('60'!$D$2="","",'60'!$D$2)</f>
        <v/>
      </c>
    </row>
    <row r="340" spans="1:14" hidden="1" x14ac:dyDescent="0.3">
      <c r="A340" t="s">
        <v>204</v>
      </c>
      <c r="B340" s="20" t="s">
        <v>1</v>
      </c>
      <c r="C340" s="50" t="s">
        <v>210</v>
      </c>
      <c r="E340" s="4" t="str">
        <f>IF(C340='60'!$B$3,"TRUE","")</f>
        <v/>
      </c>
      <c r="F340" s="35">
        <v>0</v>
      </c>
      <c r="G340" s="17">
        <v>0</v>
      </c>
      <c r="H340" s="21" t="s">
        <v>18</v>
      </c>
      <c r="J340" s="17">
        <v>60</v>
      </c>
      <c r="K340" s="17">
        <v>17</v>
      </c>
      <c r="L340" t="str">
        <f>IF('60'!$A$21="","",'60'!$A$21)</f>
        <v/>
      </c>
      <c r="M340" t="str">
        <f>IF('60'!$D$21="","",'60'!$D$21)</f>
        <v/>
      </c>
      <c r="N340" t="str">
        <f>IF('60'!$D$2="","",'60'!$D$2)</f>
        <v/>
      </c>
    </row>
    <row r="341" spans="1:14" hidden="1" x14ac:dyDescent="0.3">
      <c r="A341" t="s">
        <v>204</v>
      </c>
      <c r="B341" s="20" t="s">
        <v>1</v>
      </c>
      <c r="C341" s="51" t="s">
        <v>211</v>
      </c>
      <c r="E341" s="4" t="str">
        <f>IF(C341='60'!$B$3,"TRUE","")</f>
        <v/>
      </c>
      <c r="F341" s="35">
        <v>0</v>
      </c>
      <c r="G341" s="17">
        <v>0</v>
      </c>
      <c r="H341" s="21" t="s">
        <v>18</v>
      </c>
      <c r="J341" s="17">
        <v>60</v>
      </c>
      <c r="K341" s="17">
        <v>17</v>
      </c>
      <c r="L341" t="str">
        <f>IF('60'!$A$21="","",'60'!$A$21)</f>
        <v/>
      </c>
      <c r="M341" t="str">
        <f>IF('60'!$D$21="","",'60'!$D$21)</f>
        <v/>
      </c>
      <c r="N341" t="str">
        <f>IF('60'!$D$2="","",'60'!$D$2)</f>
        <v/>
      </c>
    </row>
    <row r="342" spans="1:14" hidden="1" x14ac:dyDescent="0.3">
      <c r="A342" t="s">
        <v>204</v>
      </c>
      <c r="B342" s="20" t="s">
        <v>1</v>
      </c>
      <c r="C342" s="50" t="s">
        <v>213</v>
      </c>
      <c r="E342" s="4" t="str">
        <f>IF(C342='60'!$B$3,"TRUE","")</f>
        <v/>
      </c>
      <c r="F342" s="35">
        <v>0</v>
      </c>
      <c r="G342" s="17">
        <v>0</v>
      </c>
      <c r="H342" s="21" t="s">
        <v>18</v>
      </c>
      <c r="J342" s="17">
        <v>60</v>
      </c>
      <c r="K342" s="17">
        <v>17</v>
      </c>
      <c r="L342" t="str">
        <f>IF('60'!$A$21="","",'60'!$A$21)</f>
        <v/>
      </c>
      <c r="M342" t="str">
        <f>IF('60'!$D$21="","",'60'!$D$21)</f>
        <v/>
      </c>
      <c r="N342" t="str">
        <f>IF('60'!$D$2="","",'60'!$D$2)</f>
        <v/>
      </c>
    </row>
    <row r="343" spans="1:14" hidden="1" x14ac:dyDescent="0.3">
      <c r="A343" t="s">
        <v>204</v>
      </c>
      <c r="B343" s="20" t="s">
        <v>1</v>
      </c>
      <c r="C343" s="50" t="s">
        <v>212</v>
      </c>
      <c r="E343" s="4" t="str">
        <f>IF(C343='60'!$B$3,"TRUE","")</f>
        <v/>
      </c>
      <c r="F343" s="35">
        <v>0</v>
      </c>
      <c r="G343" s="17">
        <v>0</v>
      </c>
      <c r="H343" s="21" t="s">
        <v>18</v>
      </c>
      <c r="J343" s="17">
        <v>60</v>
      </c>
      <c r="K343" s="17">
        <v>17</v>
      </c>
      <c r="L343" t="str">
        <f>IF('60'!$A$21="","",'60'!$A$21)</f>
        <v/>
      </c>
      <c r="M343" t="str">
        <f>IF('60'!$D$21="","",'60'!$D$21)</f>
        <v/>
      </c>
      <c r="N343" t="str">
        <f>IF('60'!$D$2="","",'60'!$D$2)</f>
        <v/>
      </c>
    </row>
    <row r="344" spans="1:14" hidden="1" x14ac:dyDescent="0.3">
      <c r="A344" t="s">
        <v>205</v>
      </c>
      <c r="B344" s="20" t="s">
        <v>375</v>
      </c>
      <c r="D344">
        <v>-2</v>
      </c>
      <c r="E344" s="4" t="str">
        <f>IF(B344='60'!$B$5,"TRUE","")</f>
        <v/>
      </c>
      <c r="F344" s="35">
        <v>0</v>
      </c>
      <c r="G344" s="17">
        <v>1</v>
      </c>
      <c r="H344" s="21" t="s">
        <v>18</v>
      </c>
      <c r="J344" s="17">
        <v>60</v>
      </c>
      <c r="K344" s="17">
        <v>17</v>
      </c>
      <c r="L344" t="str">
        <f>IF('60'!$A$21="","",'60'!$A$21)</f>
        <v/>
      </c>
      <c r="M344" t="str">
        <f>IF('60'!$D$21="","",'60'!$D$21)</f>
        <v/>
      </c>
      <c r="N344" t="str">
        <f>IF('60'!$D$5="","",'60'!$D$5)</f>
        <v/>
      </c>
    </row>
    <row r="345" spans="1:14" hidden="1" x14ac:dyDescent="0.3">
      <c r="A345" t="s">
        <v>205</v>
      </c>
      <c r="B345" s="20" t="s">
        <v>1</v>
      </c>
      <c r="C345" s="50" t="s">
        <v>210</v>
      </c>
      <c r="E345" s="4" t="str">
        <f>IF(C345='60'!$B$6,"TRUE","")</f>
        <v/>
      </c>
      <c r="F345" s="35">
        <v>0</v>
      </c>
      <c r="G345" s="17">
        <v>1</v>
      </c>
      <c r="H345" s="21" t="s">
        <v>18</v>
      </c>
      <c r="J345" s="17">
        <v>60</v>
      </c>
      <c r="K345" s="17">
        <v>17</v>
      </c>
      <c r="L345" t="str">
        <f>IF('60'!$A$21="","",'60'!$A$21)</f>
        <v/>
      </c>
      <c r="M345" t="str">
        <f>IF('60'!$D$21="","",'60'!$D$21)</f>
        <v/>
      </c>
      <c r="N345" t="str">
        <f>IF('60'!$D$5="","",'60'!$D$5)</f>
        <v/>
      </c>
    </row>
    <row r="346" spans="1:14" hidden="1" x14ac:dyDescent="0.3">
      <c r="A346" t="s">
        <v>205</v>
      </c>
      <c r="B346" s="20" t="s">
        <v>1</v>
      </c>
      <c r="C346" s="51" t="s">
        <v>211</v>
      </c>
      <c r="E346" s="4" t="str">
        <f>IF(C346='60'!$B$6,"TRUE","")</f>
        <v/>
      </c>
      <c r="F346" s="35">
        <v>0</v>
      </c>
      <c r="G346" s="17">
        <v>1</v>
      </c>
      <c r="H346" s="21" t="s">
        <v>18</v>
      </c>
      <c r="J346" s="17">
        <v>60</v>
      </c>
      <c r="K346" s="17">
        <v>17</v>
      </c>
      <c r="L346" t="str">
        <f>IF('60'!$A$21="","",'60'!$A$21)</f>
        <v/>
      </c>
      <c r="M346" t="str">
        <f>IF('60'!$D$21="","",'60'!$D$21)</f>
        <v/>
      </c>
      <c r="N346" t="str">
        <f>IF('60'!$D$5="","",'60'!$D$5)</f>
        <v/>
      </c>
    </row>
    <row r="347" spans="1:14" hidden="1" x14ac:dyDescent="0.3">
      <c r="A347" t="s">
        <v>205</v>
      </c>
      <c r="B347" s="20" t="s">
        <v>1</v>
      </c>
      <c r="C347" s="50" t="s">
        <v>213</v>
      </c>
      <c r="E347" s="4" t="str">
        <f>IF(C347='60'!$B$6,"TRUE","")</f>
        <v/>
      </c>
      <c r="F347" s="35">
        <v>0</v>
      </c>
      <c r="G347" s="17">
        <v>1</v>
      </c>
      <c r="H347" s="21" t="s">
        <v>18</v>
      </c>
      <c r="J347" s="17">
        <v>60</v>
      </c>
      <c r="K347" s="17">
        <v>17</v>
      </c>
      <c r="L347" t="str">
        <f>IF('60'!$A$21="","",'60'!$A$21)</f>
        <v/>
      </c>
      <c r="M347" t="str">
        <f>IF('60'!$D$21="","",'60'!$D$21)</f>
        <v/>
      </c>
      <c r="N347" t="str">
        <f>IF('60'!$D$5="","",'60'!$D$5)</f>
        <v/>
      </c>
    </row>
    <row r="348" spans="1:14" hidden="1" x14ac:dyDescent="0.3">
      <c r="A348" t="s">
        <v>205</v>
      </c>
      <c r="B348" s="20" t="s">
        <v>1</v>
      </c>
      <c r="C348" s="50" t="s">
        <v>212</v>
      </c>
      <c r="E348" s="4" t="str">
        <f>IF(C348='60'!$B$6,"TRUE","")</f>
        <v/>
      </c>
      <c r="F348" s="35">
        <v>0</v>
      </c>
      <c r="G348" s="17">
        <v>1</v>
      </c>
      <c r="H348" s="21" t="s">
        <v>18</v>
      </c>
      <c r="J348" s="17">
        <v>60</v>
      </c>
      <c r="K348" s="17">
        <v>17</v>
      </c>
      <c r="L348" t="str">
        <f>IF('60'!$A$21="","",'60'!$A$21)</f>
        <v/>
      </c>
      <c r="M348" t="str">
        <f>IF('60'!$D$21="","",'60'!$D$21)</f>
        <v/>
      </c>
      <c r="N348" t="str">
        <f>IF('60'!$D$5="","",'60'!$D$5)</f>
        <v/>
      </c>
    </row>
    <row r="349" spans="1:14" hidden="1" x14ac:dyDescent="0.3">
      <c r="A349" t="s">
        <v>206</v>
      </c>
      <c r="B349" s="20" t="s">
        <v>375</v>
      </c>
      <c r="D349">
        <v>-2</v>
      </c>
      <c r="E349" s="4" t="str">
        <f>IF(B349='60'!$B$8,"TRUE","")</f>
        <v/>
      </c>
      <c r="F349" s="35">
        <v>0</v>
      </c>
      <c r="G349" s="17">
        <v>2</v>
      </c>
      <c r="H349" s="21" t="s">
        <v>18</v>
      </c>
      <c r="J349" s="17">
        <v>60</v>
      </c>
      <c r="K349" s="17">
        <v>17</v>
      </c>
      <c r="L349" t="str">
        <f>IF('60'!$A$21="","",'60'!$A$21)</f>
        <v/>
      </c>
      <c r="M349" t="str">
        <f>IF('60'!$D$21="","",'60'!$D$21)</f>
        <v/>
      </c>
      <c r="N349" t="str">
        <f>IF('60'!$D$8="","",'60'!$D$8)</f>
        <v/>
      </c>
    </row>
    <row r="350" spans="1:14" hidden="1" x14ac:dyDescent="0.3">
      <c r="A350" t="s">
        <v>206</v>
      </c>
      <c r="B350" s="20" t="s">
        <v>1</v>
      </c>
      <c r="C350" s="50" t="s">
        <v>210</v>
      </c>
      <c r="E350" s="4" t="str">
        <f>IF(C350='60'!$B$9,"TRUE","")</f>
        <v/>
      </c>
      <c r="F350" s="35">
        <v>0</v>
      </c>
      <c r="G350" s="17">
        <v>2</v>
      </c>
      <c r="H350" s="21" t="s">
        <v>18</v>
      </c>
      <c r="J350" s="17">
        <v>60</v>
      </c>
      <c r="K350" s="17">
        <v>17</v>
      </c>
      <c r="L350" t="str">
        <f>IF('60'!$A$21="","",'60'!$A$21)</f>
        <v/>
      </c>
      <c r="M350" t="str">
        <f>IF('60'!$D$21="","",'60'!$D$21)</f>
        <v/>
      </c>
      <c r="N350" t="str">
        <f>IF('60'!$D$8="","",'60'!$D$8)</f>
        <v/>
      </c>
    </row>
    <row r="351" spans="1:14" hidden="1" x14ac:dyDescent="0.3">
      <c r="A351" t="s">
        <v>206</v>
      </c>
      <c r="B351" s="20" t="s">
        <v>1</v>
      </c>
      <c r="C351" s="51" t="s">
        <v>211</v>
      </c>
      <c r="E351" s="4" t="str">
        <f>IF(C351='60'!$B$9,"TRUE","")</f>
        <v/>
      </c>
      <c r="F351" s="35">
        <v>0</v>
      </c>
      <c r="G351" s="17">
        <v>2</v>
      </c>
      <c r="H351" s="21" t="s">
        <v>18</v>
      </c>
      <c r="J351" s="17">
        <v>60</v>
      </c>
      <c r="K351" s="17">
        <v>17</v>
      </c>
      <c r="L351" t="str">
        <f>IF('60'!$A$21="","",'60'!$A$21)</f>
        <v/>
      </c>
      <c r="M351" t="str">
        <f>IF('60'!$D$21="","",'60'!$D$21)</f>
        <v/>
      </c>
      <c r="N351" t="str">
        <f>IF('60'!$D$8="","",'60'!$D$8)</f>
        <v/>
      </c>
    </row>
    <row r="352" spans="1:14" hidden="1" x14ac:dyDescent="0.3">
      <c r="A352" t="s">
        <v>206</v>
      </c>
      <c r="B352" s="20" t="s">
        <v>1</v>
      </c>
      <c r="C352" s="50" t="s">
        <v>213</v>
      </c>
      <c r="E352" s="4" t="str">
        <f>IF(C352='60'!$B$9,"TRUE","")</f>
        <v/>
      </c>
      <c r="F352" s="35">
        <v>0</v>
      </c>
      <c r="G352" s="17">
        <v>2</v>
      </c>
      <c r="H352" s="21" t="s">
        <v>18</v>
      </c>
      <c r="J352" s="17">
        <v>60</v>
      </c>
      <c r="K352" s="17">
        <v>17</v>
      </c>
      <c r="L352" t="str">
        <f>IF('60'!$A$21="","",'60'!$A$21)</f>
        <v/>
      </c>
      <c r="M352" t="str">
        <f>IF('60'!$D$21="","",'60'!$D$21)</f>
        <v/>
      </c>
      <c r="N352" t="str">
        <f>IF('60'!$D$8="","",'60'!$D$8)</f>
        <v/>
      </c>
    </row>
    <row r="353" spans="1:14" hidden="1" x14ac:dyDescent="0.3">
      <c r="A353" t="s">
        <v>206</v>
      </c>
      <c r="B353" s="20" t="s">
        <v>1</v>
      </c>
      <c r="C353" s="50" t="s">
        <v>212</v>
      </c>
      <c r="E353" s="4" t="str">
        <f>IF(C353='60'!$B$9,"TRUE","")</f>
        <v/>
      </c>
      <c r="F353" s="35">
        <v>0</v>
      </c>
      <c r="G353" s="17">
        <v>2</v>
      </c>
      <c r="H353" s="21" t="s">
        <v>18</v>
      </c>
      <c r="J353" s="17">
        <v>60</v>
      </c>
      <c r="K353" s="17">
        <v>17</v>
      </c>
      <c r="L353" t="str">
        <f>IF('60'!$A$21="","",'60'!$A$21)</f>
        <v/>
      </c>
      <c r="M353" t="str">
        <f>IF('60'!$D$21="","",'60'!$D$21)</f>
        <v/>
      </c>
      <c r="N353" t="str">
        <f>IF('60'!$D$8="","",'60'!$D$8)</f>
        <v/>
      </c>
    </row>
    <row r="354" spans="1:14" hidden="1" x14ac:dyDescent="0.3">
      <c r="A354" t="s">
        <v>207</v>
      </c>
      <c r="B354" s="20" t="s">
        <v>375</v>
      </c>
      <c r="D354">
        <v>-2</v>
      </c>
      <c r="E354" s="4" t="str">
        <f>IF(B354='60'!$B$11,"TRUE","")</f>
        <v/>
      </c>
      <c r="F354" s="35">
        <v>0</v>
      </c>
      <c r="G354" s="17">
        <v>3</v>
      </c>
      <c r="H354" s="21" t="s">
        <v>18</v>
      </c>
      <c r="J354" s="17">
        <v>60</v>
      </c>
      <c r="K354" s="17">
        <v>17</v>
      </c>
      <c r="L354" t="str">
        <f>IF('60'!$A$21="","",'60'!$A$21)</f>
        <v/>
      </c>
      <c r="M354" t="str">
        <f>IF('60'!$D$21="","",'60'!$D$21)</f>
        <v/>
      </c>
      <c r="N354" t="str">
        <f>IF('60'!$D$11="","",'60'!$D$11)</f>
        <v/>
      </c>
    </row>
    <row r="355" spans="1:14" hidden="1" x14ac:dyDescent="0.3">
      <c r="A355" t="s">
        <v>207</v>
      </c>
      <c r="B355" s="20" t="s">
        <v>1</v>
      </c>
      <c r="C355" s="50" t="s">
        <v>210</v>
      </c>
      <c r="E355" s="4" t="str">
        <f>IF(C355='60'!$B$12,"TRUE","")</f>
        <v/>
      </c>
      <c r="F355" s="35">
        <v>0</v>
      </c>
      <c r="G355" s="17">
        <v>3</v>
      </c>
      <c r="H355" s="21" t="s">
        <v>18</v>
      </c>
      <c r="J355" s="17">
        <v>60</v>
      </c>
      <c r="K355" s="17">
        <v>17</v>
      </c>
      <c r="L355" t="str">
        <f>IF('60'!$A$21="","",'60'!$A$21)</f>
        <v/>
      </c>
      <c r="M355" t="str">
        <f>IF('60'!$D$21="","",'60'!$D$21)</f>
        <v/>
      </c>
      <c r="N355" t="str">
        <f>IF('60'!$D$11="","",'60'!$D$11)</f>
        <v/>
      </c>
    </row>
    <row r="356" spans="1:14" hidden="1" x14ac:dyDescent="0.3">
      <c r="A356" t="s">
        <v>207</v>
      </c>
      <c r="B356" s="20" t="s">
        <v>1</v>
      </c>
      <c r="C356" s="51" t="s">
        <v>211</v>
      </c>
      <c r="E356" s="4" t="str">
        <f>IF(C356='60'!$B$12,"TRUE","")</f>
        <v/>
      </c>
      <c r="F356" s="35">
        <v>0</v>
      </c>
      <c r="G356" s="17">
        <v>3</v>
      </c>
      <c r="H356" s="21" t="s">
        <v>18</v>
      </c>
      <c r="J356" s="17">
        <v>60</v>
      </c>
      <c r="K356" s="17">
        <v>17</v>
      </c>
      <c r="L356" t="str">
        <f>IF('60'!$A$21="","",'60'!$A$21)</f>
        <v/>
      </c>
      <c r="M356" t="str">
        <f>IF('60'!$D$21="","",'60'!$D$21)</f>
        <v/>
      </c>
      <c r="N356" t="str">
        <f>IF('60'!$D$11="","",'60'!$D$11)</f>
        <v/>
      </c>
    </row>
    <row r="357" spans="1:14" hidden="1" x14ac:dyDescent="0.3">
      <c r="A357" t="s">
        <v>207</v>
      </c>
      <c r="B357" s="20" t="s">
        <v>1</v>
      </c>
      <c r="C357" s="50" t="s">
        <v>213</v>
      </c>
      <c r="E357" s="4" t="str">
        <f>IF(C357='60'!$B$12,"TRUE","")</f>
        <v/>
      </c>
      <c r="F357" s="35">
        <v>0</v>
      </c>
      <c r="G357" s="17">
        <v>3</v>
      </c>
      <c r="H357" s="21" t="s">
        <v>18</v>
      </c>
      <c r="J357" s="17">
        <v>60</v>
      </c>
      <c r="K357" s="17">
        <v>17</v>
      </c>
      <c r="L357" t="str">
        <f>IF('60'!$A$21="","",'60'!$A$21)</f>
        <v/>
      </c>
      <c r="M357" t="str">
        <f>IF('60'!$D$21="","",'60'!$D$21)</f>
        <v/>
      </c>
      <c r="N357" t="str">
        <f>IF('60'!$D$11="","",'60'!$D$11)</f>
        <v/>
      </c>
    </row>
    <row r="358" spans="1:14" hidden="1" x14ac:dyDescent="0.3">
      <c r="A358" t="s">
        <v>207</v>
      </c>
      <c r="B358" s="20" t="s">
        <v>1</v>
      </c>
      <c r="C358" s="50" t="s">
        <v>212</v>
      </c>
      <c r="E358" s="4" t="str">
        <f>IF(C358='60'!$B$12,"TRUE","")</f>
        <v/>
      </c>
      <c r="F358" s="35">
        <v>0</v>
      </c>
      <c r="G358" s="17">
        <v>3</v>
      </c>
      <c r="H358" s="21" t="s">
        <v>18</v>
      </c>
      <c r="J358" s="17">
        <v>60</v>
      </c>
      <c r="K358" s="17">
        <v>17</v>
      </c>
      <c r="L358" t="str">
        <f>IF('60'!$A$21="","",'60'!$A$21)</f>
        <v/>
      </c>
      <c r="M358" t="str">
        <f>IF('60'!$D$21="","",'60'!$D$21)</f>
        <v/>
      </c>
      <c r="N358" t="str">
        <f>IF('60'!$D$11="","",'60'!$D$11)</f>
        <v/>
      </c>
    </row>
    <row r="359" spans="1:14" hidden="1" x14ac:dyDescent="0.3">
      <c r="A359" t="s">
        <v>208</v>
      </c>
      <c r="B359" s="20" t="s">
        <v>375</v>
      </c>
      <c r="D359">
        <v>-2</v>
      </c>
      <c r="E359" s="4" t="str">
        <f>IF(B359='60'!$B$14,"TRUE","")</f>
        <v/>
      </c>
      <c r="F359" s="35">
        <v>0</v>
      </c>
      <c r="G359" s="17">
        <v>4</v>
      </c>
      <c r="H359" s="21" t="s">
        <v>18</v>
      </c>
      <c r="J359" s="17">
        <v>60</v>
      </c>
      <c r="K359" s="17">
        <v>17</v>
      </c>
      <c r="L359" t="str">
        <f>IF('60'!$A$21="","",'60'!$A$21)</f>
        <v/>
      </c>
      <c r="M359" t="str">
        <f>IF('60'!$D$21="","",'60'!$D$21)</f>
        <v/>
      </c>
      <c r="N359" t="str">
        <f>IF('60'!$D$14="","",'60'!$D$14)</f>
        <v/>
      </c>
    </row>
    <row r="360" spans="1:14" hidden="1" x14ac:dyDescent="0.3">
      <c r="A360" t="s">
        <v>208</v>
      </c>
      <c r="B360" s="20" t="s">
        <v>1</v>
      </c>
      <c r="C360" s="50" t="s">
        <v>210</v>
      </c>
      <c r="E360" s="4" t="str">
        <f>IF(C360='60'!$B$15,"TRUE","")</f>
        <v/>
      </c>
      <c r="F360" s="35">
        <v>0</v>
      </c>
      <c r="G360" s="17">
        <v>4</v>
      </c>
      <c r="H360" s="21" t="s">
        <v>18</v>
      </c>
      <c r="J360" s="17">
        <v>60</v>
      </c>
      <c r="K360" s="17">
        <v>17</v>
      </c>
      <c r="L360" t="str">
        <f>IF('60'!$A$21="","",'60'!$A$21)</f>
        <v/>
      </c>
      <c r="M360" t="str">
        <f>IF('60'!$D$21="","",'60'!$D$21)</f>
        <v/>
      </c>
      <c r="N360" t="str">
        <f>IF('60'!$D$14="","",'60'!$D$14)</f>
        <v/>
      </c>
    </row>
    <row r="361" spans="1:14" hidden="1" x14ac:dyDescent="0.3">
      <c r="A361" t="s">
        <v>208</v>
      </c>
      <c r="B361" s="20" t="s">
        <v>1</v>
      </c>
      <c r="C361" s="51" t="s">
        <v>211</v>
      </c>
      <c r="E361" s="4" t="str">
        <f>IF(C361='60'!$B$15,"TRUE","")</f>
        <v/>
      </c>
      <c r="F361" s="35">
        <v>0</v>
      </c>
      <c r="G361" s="17">
        <v>4</v>
      </c>
      <c r="H361" s="21" t="s">
        <v>18</v>
      </c>
      <c r="J361" s="17">
        <v>60</v>
      </c>
      <c r="K361" s="17">
        <v>17</v>
      </c>
      <c r="L361" t="str">
        <f>IF('60'!$A$21="","",'60'!$A$21)</f>
        <v/>
      </c>
      <c r="M361" t="str">
        <f>IF('60'!$D$21="","",'60'!$D$21)</f>
        <v/>
      </c>
      <c r="N361" t="str">
        <f>IF('60'!$D$14="","",'60'!$D$14)</f>
        <v/>
      </c>
    </row>
    <row r="362" spans="1:14" hidden="1" x14ac:dyDescent="0.3">
      <c r="A362" t="s">
        <v>208</v>
      </c>
      <c r="B362" s="20" t="s">
        <v>1</v>
      </c>
      <c r="C362" s="50" t="s">
        <v>213</v>
      </c>
      <c r="E362" s="4" t="str">
        <f>IF(C362='60'!$B$15,"TRUE","")</f>
        <v/>
      </c>
      <c r="F362" s="35">
        <v>0</v>
      </c>
      <c r="G362" s="17">
        <v>4</v>
      </c>
      <c r="H362" s="21" t="s">
        <v>18</v>
      </c>
      <c r="J362" s="17">
        <v>60</v>
      </c>
      <c r="K362" s="17">
        <v>17</v>
      </c>
      <c r="L362" t="str">
        <f>IF('60'!$A$21="","",'60'!$A$21)</f>
        <v/>
      </c>
      <c r="M362" t="str">
        <f>IF('60'!$D$21="","",'60'!$D$21)</f>
        <v/>
      </c>
      <c r="N362" t="str">
        <f>IF('60'!$D$14="","",'60'!$D$14)</f>
        <v/>
      </c>
    </row>
    <row r="363" spans="1:14" hidden="1" x14ac:dyDescent="0.3">
      <c r="A363" t="s">
        <v>208</v>
      </c>
      <c r="B363" s="20" t="s">
        <v>1</v>
      </c>
      <c r="C363" s="50" t="s">
        <v>212</v>
      </c>
      <c r="E363" s="4" t="str">
        <f>IF(C363='60'!$B$15,"TRUE","")</f>
        <v/>
      </c>
      <c r="F363" s="35">
        <v>0</v>
      </c>
      <c r="G363" s="17">
        <v>4</v>
      </c>
      <c r="H363" s="21" t="s">
        <v>18</v>
      </c>
      <c r="J363" s="17">
        <v>60</v>
      </c>
      <c r="K363" s="17">
        <v>17</v>
      </c>
      <c r="L363" t="str">
        <f>IF('60'!$A$21="","",'60'!$A$21)</f>
        <v/>
      </c>
      <c r="M363" t="str">
        <f>IF('60'!$D$21="","",'60'!$D$21)</f>
        <v/>
      </c>
      <c r="N363" t="str">
        <f>IF('60'!$D$14="","",'60'!$D$14)</f>
        <v/>
      </c>
    </row>
    <row r="364" spans="1:14" hidden="1" x14ac:dyDescent="0.3">
      <c r="A364" t="s">
        <v>209</v>
      </c>
      <c r="B364" s="20" t="s">
        <v>375</v>
      </c>
      <c r="D364">
        <v>-2</v>
      </c>
      <c r="E364" s="4" t="str">
        <f>IF(B364='60'!$B$17,"TRUE","")</f>
        <v/>
      </c>
      <c r="F364" s="35">
        <v>0</v>
      </c>
      <c r="G364" s="17">
        <v>5</v>
      </c>
      <c r="H364" s="21" t="s">
        <v>18</v>
      </c>
      <c r="J364" s="17">
        <v>60</v>
      </c>
      <c r="K364" s="17">
        <v>17</v>
      </c>
      <c r="L364" t="str">
        <f>IF('60'!$A$21="","",'60'!$A$21)</f>
        <v/>
      </c>
      <c r="M364" t="str">
        <f>IF('60'!$D$21="","",'60'!$D$21)</f>
        <v/>
      </c>
      <c r="N364" t="str">
        <f>IF('60'!$D$17="","",'60'!$D$17)</f>
        <v/>
      </c>
    </row>
    <row r="365" spans="1:14" hidden="1" x14ac:dyDescent="0.3">
      <c r="A365" t="s">
        <v>209</v>
      </c>
      <c r="B365" s="20" t="s">
        <v>1</v>
      </c>
      <c r="C365" s="50" t="s">
        <v>210</v>
      </c>
      <c r="E365" s="4" t="str">
        <f>IF(C365='60'!$B$18,"TRUE","")</f>
        <v/>
      </c>
      <c r="F365" s="35">
        <v>0</v>
      </c>
      <c r="G365" s="17">
        <v>5</v>
      </c>
      <c r="H365" s="21" t="s">
        <v>18</v>
      </c>
      <c r="J365" s="17">
        <v>60</v>
      </c>
      <c r="K365" s="17">
        <v>17</v>
      </c>
      <c r="L365" t="str">
        <f>IF('60'!$A$21="","",'60'!$A$21)</f>
        <v/>
      </c>
      <c r="M365" t="str">
        <f>IF('60'!$D$21="","",'60'!$D$21)</f>
        <v/>
      </c>
      <c r="N365" t="str">
        <f>IF('60'!$D$17="","",'60'!$D$17)</f>
        <v/>
      </c>
    </row>
    <row r="366" spans="1:14" hidden="1" x14ac:dyDescent="0.3">
      <c r="A366" t="s">
        <v>209</v>
      </c>
      <c r="B366" s="20" t="s">
        <v>1</v>
      </c>
      <c r="C366" s="51" t="s">
        <v>211</v>
      </c>
      <c r="E366" s="4" t="str">
        <f>IF(C366='60'!$B$18,"TRUE","")</f>
        <v/>
      </c>
      <c r="F366" s="35">
        <v>0</v>
      </c>
      <c r="G366" s="17">
        <v>5</v>
      </c>
      <c r="H366" s="21" t="s">
        <v>18</v>
      </c>
      <c r="J366" s="17">
        <v>60</v>
      </c>
      <c r="K366" s="17">
        <v>17</v>
      </c>
      <c r="L366" t="str">
        <f>IF('60'!$A$21="","",'60'!$A$21)</f>
        <v/>
      </c>
      <c r="M366" t="str">
        <f>IF('60'!$D$21="","",'60'!$D$21)</f>
        <v/>
      </c>
      <c r="N366" t="str">
        <f>IF('60'!$D$17="","",'60'!$D$17)</f>
        <v/>
      </c>
    </row>
    <row r="367" spans="1:14" hidden="1" x14ac:dyDescent="0.3">
      <c r="A367" t="s">
        <v>209</v>
      </c>
      <c r="B367" s="20" t="s">
        <v>1</v>
      </c>
      <c r="C367" s="50" t="s">
        <v>213</v>
      </c>
      <c r="E367" s="4" t="str">
        <f>IF(C367='60'!$B$18,"TRUE","")</f>
        <v/>
      </c>
      <c r="F367" s="35">
        <v>0</v>
      </c>
      <c r="G367" s="17">
        <v>5</v>
      </c>
      <c r="H367" s="21" t="s">
        <v>18</v>
      </c>
      <c r="J367" s="17">
        <v>60</v>
      </c>
      <c r="K367" s="17">
        <v>17</v>
      </c>
      <c r="L367" t="str">
        <f>IF('60'!$A$21="","",'60'!$A$21)</f>
        <v/>
      </c>
      <c r="M367" t="str">
        <f>IF('60'!$D$21="","",'60'!$D$21)</f>
        <v/>
      </c>
      <c r="N367" t="str">
        <f>IF('60'!$D$17="","",'60'!$D$17)</f>
        <v/>
      </c>
    </row>
    <row r="368" spans="1:14" hidden="1" x14ac:dyDescent="0.3">
      <c r="A368" t="s">
        <v>209</v>
      </c>
      <c r="B368" s="20" t="s">
        <v>1</v>
      </c>
      <c r="C368" s="50" t="s">
        <v>212</v>
      </c>
      <c r="E368" s="4" t="str">
        <f>IF(C368='60'!$B$18,"TRUE","")</f>
        <v/>
      </c>
      <c r="F368" s="35">
        <v>0</v>
      </c>
      <c r="G368" s="17">
        <v>5</v>
      </c>
      <c r="H368" s="21" t="s">
        <v>18</v>
      </c>
      <c r="J368" s="17">
        <v>60</v>
      </c>
      <c r="K368" s="17">
        <v>17</v>
      </c>
      <c r="L368" t="str">
        <f>IF('60'!$A$21="","",'60'!$A$21)</f>
        <v/>
      </c>
      <c r="M368" t="str">
        <f>IF('60'!$D$21="","",'60'!$D$21)</f>
        <v/>
      </c>
      <c r="N368" t="str">
        <f>IF('60'!$D$17="","",'60'!$D$17)</f>
        <v/>
      </c>
    </row>
    <row r="369" spans="1:14" hidden="1" x14ac:dyDescent="0.3">
      <c r="A369" t="s">
        <v>374</v>
      </c>
      <c r="B369" s="20" t="s">
        <v>375</v>
      </c>
      <c r="D369">
        <v>-2</v>
      </c>
      <c r="E369" s="4" t="str">
        <f>IF(B369='70'!$B$2,"TRUE","")</f>
        <v/>
      </c>
      <c r="F369" s="35">
        <v>0</v>
      </c>
      <c r="G369" s="17">
        <v>0</v>
      </c>
      <c r="H369" s="21" t="s">
        <v>18</v>
      </c>
      <c r="J369" s="17">
        <v>70</v>
      </c>
      <c r="K369" s="17">
        <v>24</v>
      </c>
      <c r="L369" t="str">
        <f>IF('70'!$A$7="","",'70'!$A$7)</f>
        <v/>
      </c>
      <c r="M369" t="str">
        <f>IF('70'!$D$7="","",'70'!$D$7)</f>
        <v/>
      </c>
      <c r="N369" t="str">
        <f>IF('70'!$D$2="","",'70'!$D$2)</f>
        <v/>
      </c>
    </row>
    <row r="370" spans="1:14" hidden="1" x14ac:dyDescent="0.3">
      <c r="A370" t="s">
        <v>374</v>
      </c>
      <c r="B370" s="20" t="s">
        <v>1</v>
      </c>
      <c r="C370" s="12" t="s">
        <v>42</v>
      </c>
      <c r="E370" s="4" t="str">
        <f>IF(C370='70'!$B$3,"TRUE","")</f>
        <v/>
      </c>
      <c r="F370" s="35">
        <v>0</v>
      </c>
      <c r="G370" s="17">
        <v>0</v>
      </c>
      <c r="H370" s="21" t="s">
        <v>18</v>
      </c>
      <c r="J370" s="17">
        <v>70</v>
      </c>
      <c r="K370" s="17">
        <v>24</v>
      </c>
      <c r="L370" t="str">
        <f>IF('70'!$A$7="","",'70'!$A$7)</f>
        <v/>
      </c>
      <c r="M370" t="str">
        <f>IF('70'!$D$7="","",'70'!$D$7)</f>
        <v/>
      </c>
      <c r="N370" t="str">
        <f>IF('70'!$D$2="","",'70'!$D$2)</f>
        <v/>
      </c>
    </row>
    <row r="371" spans="1:14" hidden="1" x14ac:dyDescent="0.3">
      <c r="A371" t="s">
        <v>374</v>
      </c>
      <c r="B371" s="20" t="s">
        <v>1</v>
      </c>
      <c r="C371" s="12" t="s">
        <v>41</v>
      </c>
      <c r="E371" s="4" t="str">
        <f>IF(C371='70'!$B$3,"TRUE","")</f>
        <v/>
      </c>
      <c r="F371" s="35">
        <v>0</v>
      </c>
      <c r="G371" s="17">
        <v>0</v>
      </c>
      <c r="H371" s="21" t="s">
        <v>18</v>
      </c>
      <c r="J371" s="17">
        <v>70</v>
      </c>
      <c r="K371" s="17">
        <v>24</v>
      </c>
      <c r="L371" t="str">
        <f>IF('70'!$A$7="","",'70'!$A$7)</f>
        <v/>
      </c>
      <c r="M371" t="str">
        <f>IF('70'!$D$7="","",'70'!$D$7)</f>
        <v/>
      </c>
      <c r="N371" t="str">
        <f>IF('70'!$D$2="","",'70'!$D$2)</f>
        <v/>
      </c>
    </row>
    <row r="372" spans="1:14" hidden="1" x14ac:dyDescent="0.3">
      <c r="A372" t="s">
        <v>374</v>
      </c>
      <c r="B372" s="20" t="s">
        <v>1</v>
      </c>
      <c r="C372" s="12" t="s">
        <v>40</v>
      </c>
      <c r="E372" s="4" t="str">
        <f>IF(C372='70'!$B$3,"TRUE","")</f>
        <v/>
      </c>
      <c r="F372" s="35">
        <v>0</v>
      </c>
      <c r="G372" s="17">
        <v>0</v>
      </c>
      <c r="H372" s="21" t="s">
        <v>18</v>
      </c>
      <c r="J372" s="17">
        <v>70</v>
      </c>
      <c r="K372" s="17">
        <v>24</v>
      </c>
      <c r="L372" t="str">
        <f>IF('70'!$A$7="","",'70'!$A$7)</f>
        <v/>
      </c>
      <c r="M372" t="str">
        <f>IF('70'!$D$7="","",'70'!$D$7)</f>
        <v/>
      </c>
      <c r="N372" t="str">
        <f>IF('70'!$D$2="","",'70'!$D$2)</f>
        <v/>
      </c>
    </row>
    <row r="373" spans="1:14" hidden="1" x14ac:dyDescent="0.3">
      <c r="A373" t="s">
        <v>374</v>
      </c>
      <c r="B373" s="20" t="s">
        <v>1</v>
      </c>
      <c r="C373" s="12" t="s">
        <v>43</v>
      </c>
      <c r="E373" s="4" t="str">
        <f>IF(C373='70'!$B$3,"TRUE","")</f>
        <v/>
      </c>
      <c r="F373" s="35">
        <v>0</v>
      </c>
      <c r="G373" s="17">
        <v>0</v>
      </c>
      <c r="H373" s="21" t="s">
        <v>18</v>
      </c>
      <c r="J373" s="17">
        <v>70</v>
      </c>
      <c r="K373" s="17">
        <v>24</v>
      </c>
      <c r="L373" t="str">
        <f>IF('70'!$A$7="","",'70'!$A$7)</f>
        <v/>
      </c>
      <c r="M373" t="str">
        <f>IF('70'!$D$7="","",'70'!$D$7)</f>
        <v/>
      </c>
      <c r="N373" t="str">
        <f>IF('70'!$D$2="","",'70'!$D$2)</f>
        <v/>
      </c>
    </row>
    <row r="374" spans="1:14" hidden="1" x14ac:dyDescent="0.3">
      <c r="A374" t="s">
        <v>374</v>
      </c>
      <c r="B374" s="20" t="s">
        <v>1</v>
      </c>
      <c r="C374" s="12" t="s">
        <v>44</v>
      </c>
      <c r="E374" s="4" t="str">
        <f>IF(C374='70'!$B$3,"TRUE","")</f>
        <v/>
      </c>
      <c r="F374" s="35">
        <v>0</v>
      </c>
      <c r="G374" s="17">
        <v>0</v>
      </c>
      <c r="H374" s="21" t="s">
        <v>18</v>
      </c>
      <c r="J374" s="17">
        <v>70</v>
      </c>
      <c r="K374" s="17">
        <v>24</v>
      </c>
      <c r="L374" t="str">
        <f>IF('70'!$A$7="","",'70'!$A$7)</f>
        <v/>
      </c>
      <c r="M374" t="str">
        <f>IF('70'!$D$7="","",'70'!$D$7)</f>
        <v/>
      </c>
      <c r="N374" t="str">
        <f>IF('70'!$D$2="","",'70'!$D$2)</f>
        <v/>
      </c>
    </row>
    <row r="375" spans="1:14" hidden="1" x14ac:dyDescent="0.3">
      <c r="A375" t="s">
        <v>215</v>
      </c>
      <c r="B375" s="20" t="s">
        <v>375</v>
      </c>
      <c r="D375">
        <v>-2</v>
      </c>
      <c r="E375" s="4" t="str">
        <f>IF(B375='63'!$B$3,"TRUE","")</f>
        <v/>
      </c>
      <c r="F375" s="17">
        <v>0</v>
      </c>
      <c r="G375" s="17">
        <v>0</v>
      </c>
      <c r="H375" s="21" t="s">
        <v>18</v>
      </c>
      <c r="J375" s="17">
        <v>63</v>
      </c>
      <c r="K375" s="17">
        <v>18</v>
      </c>
      <c r="L375" t="str">
        <f>IF('63'!$A$174="","",'63'!$A$174)</f>
        <v/>
      </c>
      <c r="M375" t="str">
        <f>IF('63'!$D$174="","",'63'!$D$174)</f>
        <v/>
      </c>
      <c r="N375" t="str">
        <f>IF('63'!$E$3="","",'63'!$E$3)</f>
        <v/>
      </c>
    </row>
    <row r="376" spans="1:14" hidden="1" x14ac:dyDescent="0.3">
      <c r="A376" t="s">
        <v>215</v>
      </c>
      <c r="B376" s="20" t="s">
        <v>1</v>
      </c>
      <c r="C376" s="11" t="s">
        <v>236</v>
      </c>
      <c r="E376" s="4" t="str">
        <f>IF(C376='63'!$B$4,"TRUE","")</f>
        <v/>
      </c>
      <c r="F376" s="17">
        <v>0</v>
      </c>
      <c r="G376" s="17">
        <v>0</v>
      </c>
      <c r="H376" s="21" t="s">
        <v>18</v>
      </c>
      <c r="J376" s="17">
        <v>63</v>
      </c>
      <c r="K376" s="17">
        <v>18</v>
      </c>
      <c r="L376" t="str">
        <f>IF('63'!$A$174="","",'63'!$A$174)</f>
        <v/>
      </c>
      <c r="M376" t="str">
        <f>IF('63'!$D$174="","",'63'!$D$174)</f>
        <v/>
      </c>
      <c r="N376" t="str">
        <f>IF('63'!$E$3="","",'63'!$E$3)</f>
        <v/>
      </c>
    </row>
    <row r="377" spans="1:14" hidden="1" x14ac:dyDescent="0.3">
      <c r="A377" t="s">
        <v>215</v>
      </c>
      <c r="B377" s="20" t="s">
        <v>1</v>
      </c>
      <c r="C377" s="11" t="s">
        <v>237</v>
      </c>
      <c r="E377" s="4" t="str">
        <f>IF(C377='63'!$B$4,"TRUE","")</f>
        <v/>
      </c>
      <c r="F377" s="17">
        <v>0</v>
      </c>
      <c r="G377" s="17">
        <v>0</v>
      </c>
      <c r="H377" s="21" t="s">
        <v>18</v>
      </c>
      <c r="J377" s="17">
        <v>63</v>
      </c>
      <c r="K377" s="17">
        <v>18</v>
      </c>
      <c r="L377" t="str">
        <f>IF('63'!$A$174="","",'63'!$A$174)</f>
        <v/>
      </c>
      <c r="M377" t="str">
        <f>IF('63'!$D$174="","",'63'!$D$174)</f>
        <v/>
      </c>
      <c r="N377" t="str">
        <f>IF('63'!$E$3="","",'63'!$E$3)</f>
        <v/>
      </c>
    </row>
    <row r="378" spans="1:14" hidden="1" x14ac:dyDescent="0.3">
      <c r="A378" t="s">
        <v>215</v>
      </c>
      <c r="B378" s="20" t="s">
        <v>1</v>
      </c>
      <c r="C378" s="11" t="s">
        <v>238</v>
      </c>
      <c r="E378" s="4" t="str">
        <f>IF(C378='63'!$B$4,"TRUE","")</f>
        <v/>
      </c>
      <c r="F378" s="17">
        <v>0</v>
      </c>
      <c r="G378" s="17">
        <v>0</v>
      </c>
      <c r="H378" s="21" t="s">
        <v>18</v>
      </c>
      <c r="J378" s="17">
        <v>63</v>
      </c>
      <c r="K378" s="17">
        <v>18</v>
      </c>
      <c r="L378" t="str">
        <f>IF('63'!$A$174="","",'63'!$A$174)</f>
        <v/>
      </c>
      <c r="M378" t="str">
        <f>IF('63'!$D$174="","",'63'!$D$174)</f>
        <v/>
      </c>
      <c r="N378" t="str">
        <f>IF('63'!$E$3="","",'63'!$E$3)</f>
        <v/>
      </c>
    </row>
    <row r="379" spans="1:14" hidden="1" x14ac:dyDescent="0.3">
      <c r="A379" t="s">
        <v>215</v>
      </c>
      <c r="B379" s="20" t="s">
        <v>1</v>
      </c>
      <c r="C379" s="11" t="s">
        <v>239</v>
      </c>
      <c r="E379" s="4" t="str">
        <f>IF(C379='63'!$B$4,"TRUE","")</f>
        <v/>
      </c>
      <c r="F379" s="17">
        <v>0</v>
      </c>
      <c r="G379" s="17">
        <v>0</v>
      </c>
      <c r="H379" s="21" t="s">
        <v>18</v>
      </c>
      <c r="J379" s="17">
        <v>63</v>
      </c>
      <c r="K379" s="17">
        <v>18</v>
      </c>
      <c r="L379" t="str">
        <f>IF('63'!$A$174="","",'63'!$A$174)</f>
        <v/>
      </c>
      <c r="M379" t="str">
        <f>IF('63'!$D$174="","",'63'!$D$174)</f>
        <v/>
      </c>
      <c r="N379" t="str">
        <f>IF('63'!$E$3="","",'63'!$E$3)</f>
        <v/>
      </c>
    </row>
    <row r="380" spans="1:14" ht="28.8" hidden="1" x14ac:dyDescent="0.3">
      <c r="A380" t="s">
        <v>215</v>
      </c>
      <c r="B380" s="20" t="s">
        <v>1</v>
      </c>
      <c r="C380" s="12" t="s">
        <v>240</v>
      </c>
      <c r="E380" s="4" t="str">
        <f>IF(C380='63'!$B$4,"TRUE","")</f>
        <v/>
      </c>
      <c r="F380" s="17">
        <v>0</v>
      </c>
      <c r="G380" s="17">
        <v>0</v>
      </c>
      <c r="H380" s="21" t="s">
        <v>18</v>
      </c>
      <c r="J380" s="17">
        <v>63</v>
      </c>
      <c r="K380" s="17">
        <v>18</v>
      </c>
      <c r="L380" t="str">
        <f>IF('63'!$A$174="","",'63'!$A$174)</f>
        <v/>
      </c>
      <c r="M380" t="str">
        <f>IF('63'!$D$174="","",'63'!$D$174)</f>
        <v/>
      </c>
      <c r="N380" t="str">
        <f>IF('63'!$E$3="","",'63'!$E$3)</f>
        <v/>
      </c>
    </row>
    <row r="381" spans="1:14" hidden="1" x14ac:dyDescent="0.3">
      <c r="A381" t="s">
        <v>216</v>
      </c>
      <c r="B381" s="20" t="s">
        <v>375</v>
      </c>
      <c r="D381">
        <v>-2</v>
      </c>
      <c r="E381" s="4" t="str">
        <f>IF(B381='63'!$B$6,"TRUE","")</f>
        <v/>
      </c>
      <c r="F381" s="17">
        <v>0</v>
      </c>
      <c r="G381" s="17">
        <v>1</v>
      </c>
      <c r="H381" s="21" t="s">
        <v>18</v>
      </c>
      <c r="J381" s="17">
        <v>63</v>
      </c>
      <c r="K381" s="17">
        <v>18</v>
      </c>
      <c r="L381" t="str">
        <f>IF('63'!$A$174="","",'63'!$A$174)</f>
        <v/>
      </c>
      <c r="M381" t="str">
        <f>IF('63'!$D$174="","",'63'!$D$174)</f>
        <v/>
      </c>
      <c r="N381" t="str">
        <f>IF('63'!$E$6="","",'63'!$E$6)</f>
        <v/>
      </c>
    </row>
    <row r="382" spans="1:14" hidden="1" x14ac:dyDescent="0.3">
      <c r="A382" t="s">
        <v>216</v>
      </c>
      <c r="B382" s="20" t="s">
        <v>1</v>
      </c>
      <c r="C382" s="11" t="s">
        <v>241</v>
      </c>
      <c r="E382" s="4" t="str">
        <f>IF(C382='63'!$B$7,"TRUE","")</f>
        <v/>
      </c>
      <c r="F382" s="17">
        <v>0</v>
      </c>
      <c r="G382" s="17">
        <v>1</v>
      </c>
      <c r="H382" s="21" t="s">
        <v>18</v>
      </c>
      <c r="J382" s="17">
        <v>63</v>
      </c>
      <c r="K382" s="17">
        <v>18</v>
      </c>
      <c r="L382" t="str">
        <f>IF('63'!$A$174="","",'63'!$A$174)</f>
        <v/>
      </c>
      <c r="M382" t="str">
        <f>IF('63'!$D$174="","",'63'!$D$174)</f>
        <v/>
      </c>
      <c r="N382" t="str">
        <f>IF('63'!$E$6="","",'63'!$E$6)</f>
        <v/>
      </c>
    </row>
    <row r="383" spans="1:14" ht="28.8" hidden="1" x14ac:dyDescent="0.3">
      <c r="A383" t="s">
        <v>216</v>
      </c>
      <c r="B383" s="20" t="s">
        <v>1</v>
      </c>
      <c r="C383" s="12" t="s">
        <v>242</v>
      </c>
      <c r="E383" s="4" t="str">
        <f>IF(C383='63'!$B$7,"TRUE","")</f>
        <v/>
      </c>
      <c r="F383" s="17">
        <v>0</v>
      </c>
      <c r="G383" s="17">
        <v>1</v>
      </c>
      <c r="H383" s="21" t="s">
        <v>18</v>
      </c>
      <c r="J383" s="17">
        <v>63</v>
      </c>
      <c r="K383" s="17">
        <v>18</v>
      </c>
      <c r="L383" t="str">
        <f>IF('63'!$A$174="","",'63'!$A$174)</f>
        <v/>
      </c>
      <c r="M383" t="str">
        <f>IF('63'!$D$174="","",'63'!$D$174)</f>
        <v/>
      </c>
      <c r="N383" t="str">
        <f>IF('63'!$E$6="","",'63'!$E$6)</f>
        <v/>
      </c>
    </row>
    <row r="384" spans="1:14" ht="28.8" hidden="1" x14ac:dyDescent="0.3">
      <c r="A384" t="s">
        <v>216</v>
      </c>
      <c r="B384" s="20" t="s">
        <v>1</v>
      </c>
      <c r="C384" s="12" t="s">
        <v>243</v>
      </c>
      <c r="E384" s="4" t="str">
        <f>IF(C384='63'!$B$7,"TRUE","")</f>
        <v/>
      </c>
      <c r="F384" s="17">
        <v>0</v>
      </c>
      <c r="G384" s="17">
        <v>1</v>
      </c>
      <c r="H384" s="21" t="s">
        <v>18</v>
      </c>
      <c r="J384" s="17">
        <v>63</v>
      </c>
      <c r="K384" s="17">
        <v>18</v>
      </c>
      <c r="L384" t="str">
        <f>IF('63'!$A$174="","",'63'!$A$174)</f>
        <v/>
      </c>
      <c r="M384" t="str">
        <f>IF('63'!$D$174="","",'63'!$D$174)</f>
        <v/>
      </c>
      <c r="N384" t="str">
        <f>IF('63'!$E$6="","",'63'!$E$6)</f>
        <v/>
      </c>
    </row>
    <row r="385" spans="1:14" hidden="1" x14ac:dyDescent="0.3">
      <c r="A385" t="s">
        <v>216</v>
      </c>
      <c r="B385" s="20" t="s">
        <v>1</v>
      </c>
      <c r="C385" s="11" t="s">
        <v>244</v>
      </c>
      <c r="E385" s="4" t="str">
        <f>IF(C385='63'!$B$7,"TRUE","")</f>
        <v/>
      </c>
      <c r="F385" s="17">
        <v>0</v>
      </c>
      <c r="G385" s="17">
        <v>1</v>
      </c>
      <c r="H385" s="21" t="s">
        <v>18</v>
      </c>
      <c r="J385" s="17">
        <v>63</v>
      </c>
      <c r="K385" s="17">
        <v>18</v>
      </c>
      <c r="L385" t="str">
        <f>IF('63'!$A$174="","",'63'!$A$174)</f>
        <v/>
      </c>
      <c r="M385" t="str">
        <f>IF('63'!$D$174="","",'63'!$D$174)</f>
        <v/>
      </c>
      <c r="N385" t="str">
        <f>IF('63'!$E$6="","",'63'!$E$6)</f>
        <v/>
      </c>
    </row>
    <row r="386" spans="1:14" hidden="1" x14ac:dyDescent="0.3">
      <c r="A386" t="s">
        <v>216</v>
      </c>
      <c r="B386" s="20" t="s">
        <v>1</v>
      </c>
      <c r="C386" s="11" t="s">
        <v>245</v>
      </c>
      <c r="E386" s="4" t="str">
        <f>IF(C386='63'!$B$7,"TRUE","")</f>
        <v/>
      </c>
      <c r="F386" s="17">
        <v>0</v>
      </c>
      <c r="G386" s="17">
        <v>1</v>
      </c>
      <c r="H386" s="21" t="s">
        <v>18</v>
      </c>
      <c r="J386" s="17">
        <v>63</v>
      </c>
      <c r="K386" s="17">
        <v>18</v>
      </c>
      <c r="L386" t="str">
        <f>IF('63'!$A$174="","",'63'!$A$174)</f>
        <v/>
      </c>
      <c r="M386" t="str">
        <f>IF('63'!$D$174="","",'63'!$D$174)</f>
        <v/>
      </c>
      <c r="N386" t="str">
        <f>IF('63'!$E$6="","",'63'!$E$6)</f>
        <v/>
      </c>
    </row>
    <row r="387" spans="1:14" hidden="1" x14ac:dyDescent="0.3">
      <c r="A387" t="s">
        <v>217</v>
      </c>
      <c r="B387" s="20" t="s">
        <v>375</v>
      </c>
      <c r="D387">
        <v>-2</v>
      </c>
      <c r="E387" s="4" t="str">
        <f>IF(B387='63'!$B$9,"TRUE","")</f>
        <v/>
      </c>
      <c r="F387" s="17">
        <v>0</v>
      </c>
      <c r="G387" s="17">
        <v>2</v>
      </c>
      <c r="H387" s="21" t="s">
        <v>18</v>
      </c>
      <c r="J387" s="17">
        <v>63</v>
      </c>
      <c r="K387" s="17">
        <v>18</v>
      </c>
      <c r="L387" t="str">
        <f>IF('63'!$A$174="","",'63'!$A$174)</f>
        <v/>
      </c>
      <c r="M387" t="str">
        <f>IF('63'!$D$174="","",'63'!$D$174)</f>
        <v/>
      </c>
      <c r="N387" t="str">
        <f>IF('63'!$E$9="","",'63'!$E$9)</f>
        <v/>
      </c>
    </row>
    <row r="388" spans="1:14" hidden="1" x14ac:dyDescent="0.3">
      <c r="A388" t="s">
        <v>217</v>
      </c>
      <c r="B388" s="20" t="s">
        <v>1</v>
      </c>
      <c r="C388" s="11" t="s">
        <v>246</v>
      </c>
      <c r="E388" s="4" t="str">
        <f>IF(C388='63'!$B$10,"TRUE","")</f>
        <v/>
      </c>
      <c r="F388" s="17">
        <v>0</v>
      </c>
      <c r="G388" s="17">
        <v>2</v>
      </c>
      <c r="H388" s="21" t="s">
        <v>18</v>
      </c>
      <c r="J388" s="17">
        <v>63</v>
      </c>
      <c r="K388" s="17">
        <v>18</v>
      </c>
      <c r="L388" t="str">
        <f>IF('63'!$A$174="","",'63'!$A$174)</f>
        <v/>
      </c>
      <c r="M388" t="str">
        <f>IF('63'!$D$174="","",'63'!$D$174)</f>
        <v/>
      </c>
      <c r="N388" t="str">
        <f>IF('63'!$E$9="","",'63'!$E$9)</f>
        <v/>
      </c>
    </row>
    <row r="389" spans="1:14" hidden="1" x14ac:dyDescent="0.3">
      <c r="A389" t="s">
        <v>217</v>
      </c>
      <c r="B389" s="20" t="s">
        <v>1</v>
      </c>
      <c r="C389" s="11" t="s">
        <v>247</v>
      </c>
      <c r="E389" s="4" t="str">
        <f>IF(C389='63'!$B$10,"TRUE","")</f>
        <v/>
      </c>
      <c r="F389" s="17">
        <v>0</v>
      </c>
      <c r="G389" s="17">
        <v>2</v>
      </c>
      <c r="H389" s="21" t="s">
        <v>18</v>
      </c>
      <c r="J389" s="17">
        <v>63</v>
      </c>
      <c r="K389" s="17">
        <v>18</v>
      </c>
      <c r="L389" t="str">
        <f>IF('63'!$A$174="","",'63'!$A$174)</f>
        <v/>
      </c>
      <c r="M389" t="str">
        <f>IF('63'!$D$174="","",'63'!$D$174)</f>
        <v/>
      </c>
      <c r="N389" t="str">
        <f>IF('63'!$E$9="","",'63'!$E$9)</f>
        <v/>
      </c>
    </row>
    <row r="390" spans="1:14" hidden="1" x14ac:dyDescent="0.3">
      <c r="A390" t="s">
        <v>217</v>
      </c>
      <c r="B390" s="20" t="s">
        <v>1</v>
      </c>
      <c r="C390" s="12" t="s">
        <v>248</v>
      </c>
      <c r="E390" s="4" t="str">
        <f>IF(C390='63'!$B$10,"TRUE","")</f>
        <v/>
      </c>
      <c r="F390" s="17">
        <v>0</v>
      </c>
      <c r="G390" s="17">
        <v>2</v>
      </c>
      <c r="H390" s="21" t="s">
        <v>18</v>
      </c>
      <c r="J390" s="17">
        <v>63</v>
      </c>
      <c r="K390" s="17">
        <v>18</v>
      </c>
      <c r="L390" t="str">
        <f>IF('63'!$A$174="","",'63'!$A$174)</f>
        <v/>
      </c>
      <c r="M390" t="str">
        <f>IF('63'!$D$174="","",'63'!$D$174)</f>
        <v/>
      </c>
      <c r="N390" t="str">
        <f>IF('63'!$E$9="","",'63'!$E$9)</f>
        <v/>
      </c>
    </row>
    <row r="391" spans="1:14" hidden="1" x14ac:dyDescent="0.3">
      <c r="A391" t="s">
        <v>217</v>
      </c>
      <c r="B391" s="20" t="s">
        <v>1</v>
      </c>
      <c r="C391" s="12" t="s">
        <v>249</v>
      </c>
      <c r="E391" s="4" t="str">
        <f>IF(C391='63'!$B$10,"TRUE","")</f>
        <v/>
      </c>
      <c r="F391" s="17">
        <v>0</v>
      </c>
      <c r="G391" s="17">
        <v>2</v>
      </c>
      <c r="H391" s="21" t="s">
        <v>18</v>
      </c>
      <c r="J391" s="17">
        <v>63</v>
      </c>
      <c r="K391" s="17">
        <v>18</v>
      </c>
      <c r="L391" t="str">
        <f>IF('63'!$A$174="","",'63'!$A$174)</f>
        <v/>
      </c>
      <c r="M391" t="str">
        <f>IF('63'!$D$174="","",'63'!$D$174)</f>
        <v/>
      </c>
      <c r="N391" t="str">
        <f>IF('63'!$E$9="","",'63'!$E$9)</f>
        <v/>
      </c>
    </row>
    <row r="392" spans="1:14" hidden="1" x14ac:dyDescent="0.3">
      <c r="A392" t="s">
        <v>217</v>
      </c>
      <c r="B392" s="20" t="s">
        <v>1</v>
      </c>
      <c r="C392" s="12" t="s">
        <v>250</v>
      </c>
      <c r="E392" s="4" t="str">
        <f>IF(C392='63'!$B$10,"TRUE","")</f>
        <v/>
      </c>
      <c r="F392" s="17">
        <v>0</v>
      </c>
      <c r="G392" s="17">
        <v>2</v>
      </c>
      <c r="H392" s="21" t="s">
        <v>18</v>
      </c>
      <c r="J392" s="17">
        <v>63</v>
      </c>
      <c r="K392" s="17">
        <v>18</v>
      </c>
      <c r="L392" t="str">
        <f>IF('63'!$A$174="","",'63'!$A$174)</f>
        <v/>
      </c>
      <c r="M392" t="str">
        <f>IF('63'!$D$174="","",'63'!$D$174)</f>
        <v/>
      </c>
      <c r="N392" t="str">
        <f>IF('63'!$E$9="","",'63'!$E$9)</f>
        <v/>
      </c>
    </row>
    <row r="393" spans="1:14" ht="28.8" hidden="1" x14ac:dyDescent="0.3">
      <c r="A393" t="s">
        <v>217</v>
      </c>
      <c r="B393" s="20" t="s">
        <v>1</v>
      </c>
      <c r="C393" s="12" t="s">
        <v>251</v>
      </c>
      <c r="E393" s="4" t="str">
        <f>IF(C393='63'!$B$10,"TRUE","")</f>
        <v/>
      </c>
      <c r="F393" s="17">
        <v>0</v>
      </c>
      <c r="G393" s="17">
        <v>2</v>
      </c>
      <c r="H393" s="21" t="s">
        <v>18</v>
      </c>
      <c r="J393" s="17">
        <v>63</v>
      </c>
      <c r="K393" s="17">
        <v>18</v>
      </c>
      <c r="L393" t="str">
        <f>IF('63'!$A$174="","",'63'!$A$174)</f>
        <v/>
      </c>
      <c r="M393" t="str">
        <f>IF('63'!$D$174="","",'63'!$D$174)</f>
        <v/>
      </c>
      <c r="N393" t="str">
        <f>IF('63'!$E$9="","",'63'!$E$9)</f>
        <v/>
      </c>
    </row>
    <row r="394" spans="1:14" hidden="1" x14ac:dyDescent="0.3">
      <c r="A394" t="s">
        <v>215</v>
      </c>
      <c r="B394" s="20" t="s">
        <v>375</v>
      </c>
      <c r="D394">
        <v>-2</v>
      </c>
      <c r="E394" s="4" t="str">
        <f>IF(B394='63'!$B$13,"TRUE","")</f>
        <v/>
      </c>
      <c r="F394" s="17">
        <v>1</v>
      </c>
      <c r="G394" s="17">
        <v>0</v>
      </c>
      <c r="H394" s="21" t="s">
        <v>18</v>
      </c>
      <c r="J394" s="17">
        <v>63</v>
      </c>
      <c r="K394" s="17">
        <v>18</v>
      </c>
      <c r="L394" t="str">
        <f>IF('63'!$A$174="","",'63'!$A$174)</f>
        <v/>
      </c>
      <c r="M394" t="str">
        <f>IF('63'!$D$174="","",'63'!$D$174)</f>
        <v/>
      </c>
      <c r="N394" t="str">
        <f>IF('63'!$E$13="","",'63'!$E$13)</f>
        <v/>
      </c>
    </row>
    <row r="395" spans="1:14" hidden="1" x14ac:dyDescent="0.3">
      <c r="A395" t="s">
        <v>215</v>
      </c>
      <c r="B395" s="20" t="s">
        <v>1</v>
      </c>
      <c r="C395" s="11" t="s">
        <v>236</v>
      </c>
      <c r="E395" s="4" t="str">
        <f>IF(C395='63'!$B$14,"TRUE","")</f>
        <v/>
      </c>
      <c r="F395" s="17">
        <v>1</v>
      </c>
      <c r="G395" s="17">
        <v>0</v>
      </c>
      <c r="H395" s="21" t="s">
        <v>18</v>
      </c>
      <c r="J395" s="17">
        <v>63</v>
      </c>
      <c r="K395" s="17">
        <v>18</v>
      </c>
      <c r="L395" t="str">
        <f>IF('63'!$A$174="","",'63'!$A$174)</f>
        <v/>
      </c>
      <c r="M395" t="str">
        <f>IF('63'!$D$174="","",'63'!$D$174)</f>
        <v/>
      </c>
      <c r="N395" t="str">
        <f>IF('63'!$E$13="","",'63'!$E$13)</f>
        <v/>
      </c>
    </row>
    <row r="396" spans="1:14" hidden="1" x14ac:dyDescent="0.3">
      <c r="A396" t="s">
        <v>215</v>
      </c>
      <c r="B396" s="20" t="s">
        <v>1</v>
      </c>
      <c r="C396" s="11" t="s">
        <v>237</v>
      </c>
      <c r="E396" s="4" t="str">
        <f>IF(C396='63'!$B$14,"TRUE","")</f>
        <v/>
      </c>
      <c r="F396" s="17">
        <v>1</v>
      </c>
      <c r="G396" s="17">
        <v>0</v>
      </c>
      <c r="H396" s="21" t="s">
        <v>18</v>
      </c>
      <c r="J396" s="17">
        <v>63</v>
      </c>
      <c r="K396" s="17">
        <v>18</v>
      </c>
      <c r="L396" t="str">
        <f>IF('63'!$A$174="","",'63'!$A$174)</f>
        <v/>
      </c>
      <c r="M396" t="str">
        <f>IF('63'!$D$174="","",'63'!$D$174)</f>
        <v/>
      </c>
      <c r="N396" t="str">
        <f>IF('63'!$E$13="","",'63'!$E$13)</f>
        <v/>
      </c>
    </row>
    <row r="397" spans="1:14" hidden="1" x14ac:dyDescent="0.3">
      <c r="A397" t="s">
        <v>215</v>
      </c>
      <c r="B397" s="20" t="s">
        <v>1</v>
      </c>
      <c r="C397" s="11" t="s">
        <v>238</v>
      </c>
      <c r="E397" s="4" t="str">
        <f>IF(C397='63'!$B$14,"TRUE","")</f>
        <v/>
      </c>
      <c r="F397" s="17">
        <v>1</v>
      </c>
      <c r="G397" s="17">
        <v>0</v>
      </c>
      <c r="H397" s="21" t="s">
        <v>18</v>
      </c>
      <c r="J397" s="17">
        <v>63</v>
      </c>
      <c r="K397" s="17">
        <v>18</v>
      </c>
      <c r="L397" t="str">
        <f>IF('63'!$A$174="","",'63'!$A$174)</f>
        <v/>
      </c>
      <c r="M397" t="str">
        <f>IF('63'!$D$174="","",'63'!$D$174)</f>
        <v/>
      </c>
      <c r="N397" t="str">
        <f>IF('63'!$E$13="","",'63'!$E$13)</f>
        <v/>
      </c>
    </row>
    <row r="398" spans="1:14" hidden="1" x14ac:dyDescent="0.3">
      <c r="A398" t="s">
        <v>215</v>
      </c>
      <c r="B398" s="20" t="s">
        <v>1</v>
      </c>
      <c r="C398" s="11" t="s">
        <v>239</v>
      </c>
      <c r="E398" s="4" t="str">
        <f>IF(C398='63'!$B$14,"TRUE","")</f>
        <v/>
      </c>
      <c r="F398" s="17">
        <v>1</v>
      </c>
      <c r="G398" s="17">
        <v>0</v>
      </c>
      <c r="H398" s="21" t="s">
        <v>18</v>
      </c>
      <c r="J398" s="17">
        <v>63</v>
      </c>
      <c r="K398" s="17">
        <v>18</v>
      </c>
      <c r="L398" t="str">
        <f>IF('63'!$A$174="","",'63'!$A$174)</f>
        <v/>
      </c>
      <c r="M398" t="str">
        <f>IF('63'!$D$174="","",'63'!$D$174)</f>
        <v/>
      </c>
      <c r="N398" t="str">
        <f>IF('63'!$E$13="","",'63'!$E$13)</f>
        <v/>
      </c>
    </row>
    <row r="399" spans="1:14" ht="28.8" hidden="1" x14ac:dyDescent="0.3">
      <c r="A399" t="s">
        <v>215</v>
      </c>
      <c r="B399" s="20" t="s">
        <v>1</v>
      </c>
      <c r="C399" s="12" t="s">
        <v>240</v>
      </c>
      <c r="E399" s="4" t="str">
        <f>IF(C399='63'!$B$14,"TRUE","")</f>
        <v/>
      </c>
      <c r="F399" s="17">
        <v>1</v>
      </c>
      <c r="G399" s="17">
        <v>0</v>
      </c>
      <c r="H399" s="21" t="s">
        <v>18</v>
      </c>
      <c r="J399" s="17">
        <v>63</v>
      </c>
      <c r="K399" s="17">
        <v>18</v>
      </c>
      <c r="L399" t="str">
        <f>IF('63'!$A$174="","",'63'!$A$174)</f>
        <v/>
      </c>
      <c r="M399" t="str">
        <f>IF('63'!$D$174="","",'63'!$D$174)</f>
        <v/>
      </c>
      <c r="N399" t="str">
        <f>IF('63'!$E$13="","",'63'!$E$13)</f>
        <v/>
      </c>
    </row>
    <row r="400" spans="1:14" hidden="1" x14ac:dyDescent="0.3">
      <c r="A400" t="s">
        <v>216</v>
      </c>
      <c r="B400" s="20" t="s">
        <v>375</v>
      </c>
      <c r="D400">
        <v>-2</v>
      </c>
      <c r="E400" s="4" t="str">
        <f>IF(B400='63'!$B$16,"TRUE","")</f>
        <v/>
      </c>
      <c r="F400" s="17">
        <v>1</v>
      </c>
      <c r="G400" s="17">
        <v>1</v>
      </c>
      <c r="H400" s="21" t="s">
        <v>18</v>
      </c>
      <c r="J400" s="17">
        <v>63</v>
      </c>
      <c r="K400" s="17">
        <v>18</v>
      </c>
      <c r="L400" t="str">
        <f>IF('63'!$A$174="","",'63'!$A$174)</f>
        <v/>
      </c>
      <c r="M400" t="str">
        <f>IF('63'!$D$174="","",'63'!$D$174)</f>
        <v/>
      </c>
      <c r="N400" t="str">
        <f>IF('63'!$E$16="","",'63'!$E$16)</f>
        <v/>
      </c>
    </row>
    <row r="401" spans="1:14" hidden="1" x14ac:dyDescent="0.3">
      <c r="A401" t="s">
        <v>216</v>
      </c>
      <c r="B401" s="20" t="s">
        <v>1</v>
      </c>
      <c r="C401" s="11" t="s">
        <v>241</v>
      </c>
      <c r="E401" s="4" t="str">
        <f>IF(C401='63'!$B$17,"TRUE","")</f>
        <v/>
      </c>
      <c r="F401" s="17">
        <v>1</v>
      </c>
      <c r="G401" s="17">
        <v>1</v>
      </c>
      <c r="H401" s="21" t="s">
        <v>18</v>
      </c>
      <c r="J401" s="17">
        <v>63</v>
      </c>
      <c r="K401" s="17">
        <v>18</v>
      </c>
      <c r="L401" t="str">
        <f>IF('63'!$A$174="","",'63'!$A$174)</f>
        <v/>
      </c>
      <c r="M401" t="str">
        <f>IF('63'!$D$174="","",'63'!$D$174)</f>
        <v/>
      </c>
      <c r="N401" t="str">
        <f>IF('63'!$E$16="","",'63'!$E$16)</f>
        <v/>
      </c>
    </row>
    <row r="402" spans="1:14" ht="28.8" hidden="1" x14ac:dyDescent="0.3">
      <c r="A402" t="s">
        <v>216</v>
      </c>
      <c r="B402" s="20" t="s">
        <v>1</v>
      </c>
      <c r="C402" s="12" t="s">
        <v>242</v>
      </c>
      <c r="E402" s="4" t="str">
        <f>IF(C402='63'!$B$17,"TRUE","")</f>
        <v/>
      </c>
      <c r="F402" s="17">
        <v>1</v>
      </c>
      <c r="G402" s="17">
        <v>1</v>
      </c>
      <c r="H402" s="21" t="s">
        <v>18</v>
      </c>
      <c r="J402" s="17">
        <v>63</v>
      </c>
      <c r="K402" s="17">
        <v>18</v>
      </c>
      <c r="L402" t="str">
        <f>IF('63'!$A$174="","",'63'!$A$174)</f>
        <v/>
      </c>
      <c r="M402" t="str">
        <f>IF('63'!$D$174="","",'63'!$D$174)</f>
        <v/>
      </c>
      <c r="N402" t="str">
        <f>IF('63'!$E$16="","",'63'!$E$16)</f>
        <v/>
      </c>
    </row>
    <row r="403" spans="1:14" ht="28.8" hidden="1" x14ac:dyDescent="0.3">
      <c r="A403" t="s">
        <v>216</v>
      </c>
      <c r="B403" s="20" t="s">
        <v>1</v>
      </c>
      <c r="C403" s="12" t="s">
        <v>243</v>
      </c>
      <c r="E403" s="4" t="str">
        <f>IF(C403='63'!$B$17,"TRUE","")</f>
        <v/>
      </c>
      <c r="F403" s="17">
        <v>1</v>
      </c>
      <c r="G403" s="17">
        <v>1</v>
      </c>
      <c r="H403" s="21" t="s">
        <v>18</v>
      </c>
      <c r="J403" s="17">
        <v>63</v>
      </c>
      <c r="K403" s="17">
        <v>18</v>
      </c>
      <c r="L403" t="str">
        <f>IF('63'!$A$174="","",'63'!$A$174)</f>
        <v/>
      </c>
      <c r="M403" t="str">
        <f>IF('63'!$D$174="","",'63'!$D$174)</f>
        <v/>
      </c>
      <c r="N403" t="str">
        <f>IF('63'!$E$16="","",'63'!$E$16)</f>
        <v/>
      </c>
    </row>
    <row r="404" spans="1:14" hidden="1" x14ac:dyDescent="0.3">
      <c r="A404" t="s">
        <v>216</v>
      </c>
      <c r="B404" s="20" t="s">
        <v>1</v>
      </c>
      <c r="C404" s="11" t="s">
        <v>244</v>
      </c>
      <c r="E404" s="4" t="str">
        <f>IF(C404='63'!$B$17,"TRUE","")</f>
        <v/>
      </c>
      <c r="F404" s="17">
        <v>1</v>
      </c>
      <c r="G404" s="17">
        <v>1</v>
      </c>
      <c r="H404" s="21" t="s">
        <v>18</v>
      </c>
      <c r="J404" s="17">
        <v>63</v>
      </c>
      <c r="K404" s="17">
        <v>18</v>
      </c>
      <c r="L404" t="str">
        <f>IF('63'!$A$174="","",'63'!$A$174)</f>
        <v/>
      </c>
      <c r="M404" t="str">
        <f>IF('63'!$D$174="","",'63'!$D$174)</f>
        <v/>
      </c>
      <c r="N404" t="str">
        <f>IF('63'!$E$16="","",'63'!$E$16)</f>
        <v/>
      </c>
    </row>
    <row r="405" spans="1:14" hidden="1" x14ac:dyDescent="0.3">
      <c r="A405" t="s">
        <v>216</v>
      </c>
      <c r="B405" s="20" t="s">
        <v>1</v>
      </c>
      <c r="C405" s="11" t="s">
        <v>245</v>
      </c>
      <c r="E405" s="4" t="str">
        <f>IF(C405='63'!$B$17,"TRUE","")</f>
        <v/>
      </c>
      <c r="F405" s="17">
        <v>1</v>
      </c>
      <c r="G405" s="17">
        <v>1</v>
      </c>
      <c r="H405" s="21" t="s">
        <v>18</v>
      </c>
      <c r="J405" s="17">
        <v>63</v>
      </c>
      <c r="K405" s="17">
        <v>18</v>
      </c>
      <c r="L405" t="str">
        <f>IF('63'!$A$174="","",'63'!$A$174)</f>
        <v/>
      </c>
      <c r="M405" t="str">
        <f>IF('63'!$D$174="","",'63'!$D$174)</f>
        <v/>
      </c>
      <c r="N405" t="str">
        <f>IF('63'!$E$16="","",'63'!$E$16)</f>
        <v/>
      </c>
    </row>
    <row r="406" spans="1:14" hidden="1" x14ac:dyDescent="0.3">
      <c r="A406" t="s">
        <v>217</v>
      </c>
      <c r="B406" s="20" t="s">
        <v>375</v>
      </c>
      <c r="D406">
        <v>-2</v>
      </c>
      <c r="E406" s="4" t="str">
        <f>IF(B406='63'!$B$19,"TRUE","")</f>
        <v/>
      </c>
      <c r="F406" s="17">
        <v>1</v>
      </c>
      <c r="G406" s="17">
        <v>2</v>
      </c>
      <c r="H406" s="21" t="s">
        <v>18</v>
      </c>
      <c r="J406" s="17">
        <v>63</v>
      </c>
      <c r="K406" s="17">
        <v>18</v>
      </c>
      <c r="L406" t="str">
        <f>IF('63'!$A$174="","",'63'!$A$174)</f>
        <v/>
      </c>
      <c r="M406" t="str">
        <f>IF('63'!$D$174="","",'63'!$D$174)</f>
        <v/>
      </c>
      <c r="N406" t="str">
        <f>IF('63'!$E$19="","",'63'!$E$19)</f>
        <v/>
      </c>
    </row>
    <row r="407" spans="1:14" hidden="1" x14ac:dyDescent="0.3">
      <c r="A407" t="s">
        <v>217</v>
      </c>
      <c r="B407" s="20" t="s">
        <v>1</v>
      </c>
      <c r="C407" s="11" t="s">
        <v>246</v>
      </c>
      <c r="E407" s="4" t="str">
        <f>IF(C407='63'!$B$20,"TRUE","")</f>
        <v/>
      </c>
      <c r="F407" s="17">
        <v>1</v>
      </c>
      <c r="G407" s="17">
        <v>2</v>
      </c>
      <c r="H407" s="21" t="s">
        <v>18</v>
      </c>
      <c r="J407" s="17">
        <v>63</v>
      </c>
      <c r="K407" s="17">
        <v>18</v>
      </c>
      <c r="L407" t="str">
        <f>IF('63'!$A$174="","",'63'!$A$174)</f>
        <v/>
      </c>
      <c r="M407" t="str">
        <f>IF('63'!$D$174="","",'63'!$D$174)</f>
        <v/>
      </c>
      <c r="N407" t="str">
        <f>IF('63'!$E$19="","",'63'!$E$19)</f>
        <v/>
      </c>
    </row>
    <row r="408" spans="1:14" hidden="1" x14ac:dyDescent="0.3">
      <c r="A408" t="s">
        <v>217</v>
      </c>
      <c r="B408" s="20" t="s">
        <v>1</v>
      </c>
      <c r="C408" s="11" t="s">
        <v>247</v>
      </c>
      <c r="E408" s="4" t="str">
        <f>IF(C408='63'!$B$20,"TRUE","")</f>
        <v/>
      </c>
      <c r="F408" s="17">
        <v>1</v>
      </c>
      <c r="G408" s="17">
        <v>2</v>
      </c>
      <c r="H408" s="21" t="s">
        <v>18</v>
      </c>
      <c r="J408" s="17">
        <v>63</v>
      </c>
      <c r="K408" s="17">
        <v>18</v>
      </c>
      <c r="L408" t="str">
        <f>IF('63'!$A$174="","",'63'!$A$174)</f>
        <v/>
      </c>
      <c r="M408" t="str">
        <f>IF('63'!$D$174="","",'63'!$D$174)</f>
        <v/>
      </c>
      <c r="N408" t="str">
        <f>IF('63'!$E$19="","",'63'!$E$19)</f>
        <v/>
      </c>
    </row>
    <row r="409" spans="1:14" hidden="1" x14ac:dyDescent="0.3">
      <c r="A409" t="s">
        <v>217</v>
      </c>
      <c r="B409" s="20" t="s">
        <v>1</v>
      </c>
      <c r="C409" s="12" t="s">
        <v>248</v>
      </c>
      <c r="E409" s="4" t="str">
        <f>IF(C409='63'!$B$20,"TRUE","")</f>
        <v/>
      </c>
      <c r="F409" s="17">
        <v>1</v>
      </c>
      <c r="G409" s="17">
        <v>2</v>
      </c>
      <c r="H409" s="21" t="s">
        <v>18</v>
      </c>
      <c r="J409" s="17">
        <v>63</v>
      </c>
      <c r="K409" s="17">
        <v>18</v>
      </c>
      <c r="L409" t="str">
        <f>IF('63'!$A$174="","",'63'!$A$174)</f>
        <v/>
      </c>
      <c r="M409" t="str">
        <f>IF('63'!$D$174="","",'63'!$D$174)</f>
        <v/>
      </c>
      <c r="N409" t="str">
        <f>IF('63'!$E$19="","",'63'!$E$19)</f>
        <v/>
      </c>
    </row>
    <row r="410" spans="1:14" hidden="1" x14ac:dyDescent="0.3">
      <c r="A410" t="s">
        <v>217</v>
      </c>
      <c r="B410" s="20" t="s">
        <v>1</v>
      </c>
      <c r="C410" s="12" t="s">
        <v>249</v>
      </c>
      <c r="E410" s="4" t="str">
        <f>IF(C410='63'!$B$20,"TRUE","")</f>
        <v/>
      </c>
      <c r="F410" s="17">
        <v>1</v>
      </c>
      <c r="G410" s="17">
        <v>2</v>
      </c>
      <c r="H410" s="21" t="s">
        <v>18</v>
      </c>
      <c r="J410" s="17">
        <v>63</v>
      </c>
      <c r="K410" s="17">
        <v>18</v>
      </c>
      <c r="L410" t="str">
        <f>IF('63'!$A$174="","",'63'!$A$174)</f>
        <v/>
      </c>
      <c r="M410" t="str">
        <f>IF('63'!$D$174="","",'63'!$D$174)</f>
        <v/>
      </c>
      <c r="N410" t="str">
        <f>IF('63'!$E$19="","",'63'!$E$19)</f>
        <v/>
      </c>
    </row>
    <row r="411" spans="1:14" hidden="1" x14ac:dyDescent="0.3">
      <c r="A411" t="s">
        <v>217</v>
      </c>
      <c r="B411" s="20" t="s">
        <v>1</v>
      </c>
      <c r="C411" s="12" t="s">
        <v>250</v>
      </c>
      <c r="E411" s="4" t="str">
        <f>IF(C411='63'!$B$20,"TRUE","")</f>
        <v/>
      </c>
      <c r="F411" s="17">
        <v>1</v>
      </c>
      <c r="G411" s="17">
        <v>2</v>
      </c>
      <c r="H411" s="21" t="s">
        <v>18</v>
      </c>
      <c r="J411" s="17">
        <v>63</v>
      </c>
      <c r="K411" s="17">
        <v>18</v>
      </c>
      <c r="L411" t="str">
        <f>IF('63'!$A$174="","",'63'!$A$174)</f>
        <v/>
      </c>
      <c r="M411" t="str">
        <f>IF('63'!$D$174="","",'63'!$D$174)</f>
        <v/>
      </c>
      <c r="N411" t="str">
        <f>IF('63'!$E$19="","",'63'!$E$19)</f>
        <v/>
      </c>
    </row>
    <row r="412" spans="1:14" ht="28.8" hidden="1" x14ac:dyDescent="0.3">
      <c r="A412" t="s">
        <v>217</v>
      </c>
      <c r="B412" s="20" t="s">
        <v>1</v>
      </c>
      <c r="C412" s="12" t="s">
        <v>251</v>
      </c>
      <c r="E412" s="4" t="str">
        <f>IF(C412='63'!$B$20,"TRUE","")</f>
        <v/>
      </c>
      <c r="F412" s="17">
        <v>1</v>
      </c>
      <c r="G412" s="17">
        <v>2</v>
      </c>
      <c r="H412" s="21" t="s">
        <v>18</v>
      </c>
      <c r="J412" s="17">
        <v>63</v>
      </c>
      <c r="K412" s="17">
        <v>18</v>
      </c>
      <c r="L412" t="str">
        <f>IF('63'!$A$174="","",'63'!$A$174)</f>
        <v/>
      </c>
      <c r="M412" t="str">
        <f>IF('63'!$D$174="","",'63'!$D$174)</f>
        <v/>
      </c>
      <c r="N412" t="str">
        <f>IF('63'!$E$19="","",'63'!$E$19)</f>
        <v/>
      </c>
    </row>
    <row r="413" spans="1:14" hidden="1" x14ac:dyDescent="0.3">
      <c r="A413" t="s">
        <v>215</v>
      </c>
      <c r="B413" s="20" t="s">
        <v>375</v>
      </c>
      <c r="D413">
        <v>-2</v>
      </c>
      <c r="E413" s="4" t="str">
        <f>IF(B413='63'!$B$23,"TRUE","")</f>
        <v/>
      </c>
      <c r="F413" s="17">
        <v>2</v>
      </c>
      <c r="G413" s="17">
        <v>0</v>
      </c>
      <c r="H413" s="21" t="s">
        <v>18</v>
      </c>
      <c r="J413" s="17">
        <v>63</v>
      </c>
      <c r="K413" s="17">
        <v>18</v>
      </c>
      <c r="L413" t="str">
        <f>IF('63'!$A$174="","",'63'!$A$174)</f>
        <v/>
      </c>
      <c r="M413" t="str">
        <f>IF('63'!$D$174="","",'63'!$D$174)</f>
        <v/>
      </c>
      <c r="N413" t="str">
        <f>IF('63'!$E$23="","",'63'!$E$23)</f>
        <v/>
      </c>
    </row>
    <row r="414" spans="1:14" hidden="1" x14ac:dyDescent="0.3">
      <c r="A414" t="s">
        <v>215</v>
      </c>
      <c r="B414" s="20" t="s">
        <v>1</v>
      </c>
      <c r="C414" s="11" t="s">
        <v>236</v>
      </c>
      <c r="E414" s="4" t="str">
        <f>IF(C414='63'!$B$24,"TRUE","")</f>
        <v/>
      </c>
      <c r="F414" s="17">
        <v>2</v>
      </c>
      <c r="G414" s="17">
        <v>0</v>
      </c>
      <c r="H414" s="21" t="s">
        <v>18</v>
      </c>
      <c r="J414" s="17">
        <v>63</v>
      </c>
      <c r="K414" s="17">
        <v>18</v>
      </c>
      <c r="L414" t="str">
        <f>IF('63'!$A$174="","",'63'!$A$174)</f>
        <v/>
      </c>
      <c r="M414" t="str">
        <f>IF('63'!$D$174="","",'63'!$D$174)</f>
        <v/>
      </c>
      <c r="N414" t="str">
        <f>IF('63'!$E$23="","",'63'!$E$23)</f>
        <v/>
      </c>
    </row>
    <row r="415" spans="1:14" hidden="1" x14ac:dyDescent="0.3">
      <c r="A415" t="s">
        <v>215</v>
      </c>
      <c r="B415" s="20" t="s">
        <v>1</v>
      </c>
      <c r="C415" s="11" t="s">
        <v>237</v>
      </c>
      <c r="E415" s="4" t="str">
        <f>IF(C415='63'!$B$24,"TRUE","")</f>
        <v/>
      </c>
      <c r="F415" s="17">
        <v>2</v>
      </c>
      <c r="G415" s="17">
        <v>0</v>
      </c>
      <c r="H415" s="21" t="s">
        <v>18</v>
      </c>
      <c r="J415" s="17">
        <v>63</v>
      </c>
      <c r="K415" s="17">
        <v>18</v>
      </c>
      <c r="L415" t="str">
        <f>IF('63'!$A$174="","",'63'!$A$174)</f>
        <v/>
      </c>
      <c r="M415" t="str">
        <f>IF('63'!$D$174="","",'63'!$D$174)</f>
        <v/>
      </c>
      <c r="N415" t="str">
        <f>IF('63'!$E$23="","",'63'!$E$23)</f>
        <v/>
      </c>
    </row>
    <row r="416" spans="1:14" hidden="1" x14ac:dyDescent="0.3">
      <c r="A416" t="s">
        <v>215</v>
      </c>
      <c r="B416" s="20" t="s">
        <v>1</v>
      </c>
      <c r="C416" s="11" t="s">
        <v>238</v>
      </c>
      <c r="E416" s="4" t="str">
        <f>IF(C416='63'!$B$24,"TRUE","")</f>
        <v/>
      </c>
      <c r="F416" s="17">
        <v>2</v>
      </c>
      <c r="G416" s="17">
        <v>0</v>
      </c>
      <c r="H416" s="21" t="s">
        <v>18</v>
      </c>
      <c r="J416" s="17">
        <v>63</v>
      </c>
      <c r="K416" s="17">
        <v>18</v>
      </c>
      <c r="L416" t="str">
        <f>IF('63'!$A$174="","",'63'!$A$174)</f>
        <v/>
      </c>
      <c r="M416" t="str">
        <f>IF('63'!$D$174="","",'63'!$D$174)</f>
        <v/>
      </c>
      <c r="N416" t="str">
        <f>IF('63'!$E$23="","",'63'!$E$23)</f>
        <v/>
      </c>
    </row>
    <row r="417" spans="1:14" hidden="1" x14ac:dyDescent="0.3">
      <c r="A417" t="s">
        <v>215</v>
      </c>
      <c r="B417" s="20" t="s">
        <v>1</v>
      </c>
      <c r="C417" s="11" t="s">
        <v>239</v>
      </c>
      <c r="E417" s="4" t="str">
        <f>IF(C417='63'!$B$24,"TRUE","")</f>
        <v/>
      </c>
      <c r="F417" s="17">
        <v>2</v>
      </c>
      <c r="G417" s="17">
        <v>0</v>
      </c>
      <c r="H417" s="21" t="s">
        <v>18</v>
      </c>
      <c r="J417" s="17">
        <v>63</v>
      </c>
      <c r="K417" s="17">
        <v>18</v>
      </c>
      <c r="L417" t="str">
        <f>IF('63'!$A$174="","",'63'!$A$174)</f>
        <v/>
      </c>
      <c r="M417" t="str">
        <f>IF('63'!$D$174="","",'63'!$D$174)</f>
        <v/>
      </c>
      <c r="N417" t="str">
        <f>IF('63'!$E$23="","",'63'!$E$23)</f>
        <v/>
      </c>
    </row>
    <row r="418" spans="1:14" ht="28.8" hidden="1" x14ac:dyDescent="0.3">
      <c r="A418" t="s">
        <v>215</v>
      </c>
      <c r="B418" s="20" t="s">
        <v>1</v>
      </c>
      <c r="C418" s="12" t="s">
        <v>240</v>
      </c>
      <c r="E418" s="4" t="str">
        <f>IF(C418='63'!$B$24,"TRUE","")</f>
        <v/>
      </c>
      <c r="F418" s="17">
        <v>2</v>
      </c>
      <c r="G418" s="17">
        <v>0</v>
      </c>
      <c r="H418" s="21" t="s">
        <v>18</v>
      </c>
      <c r="J418" s="17">
        <v>63</v>
      </c>
      <c r="K418" s="17">
        <v>18</v>
      </c>
      <c r="L418" t="str">
        <f>IF('63'!$A$174="","",'63'!$A$174)</f>
        <v/>
      </c>
      <c r="M418" t="str">
        <f>IF('63'!$D$174="","",'63'!$D$174)</f>
        <v/>
      </c>
      <c r="N418" t="str">
        <f>IF('63'!$E$23="","",'63'!$E$23)</f>
        <v/>
      </c>
    </row>
    <row r="419" spans="1:14" hidden="1" x14ac:dyDescent="0.3">
      <c r="A419" t="s">
        <v>216</v>
      </c>
      <c r="B419" s="20" t="s">
        <v>375</v>
      </c>
      <c r="D419">
        <v>-2</v>
      </c>
      <c r="E419" s="4" t="str">
        <f>IF(B419='63'!$B$26,"TRUE","")</f>
        <v/>
      </c>
      <c r="F419" s="17">
        <v>2</v>
      </c>
      <c r="G419" s="17">
        <v>1</v>
      </c>
      <c r="H419" s="21" t="s">
        <v>18</v>
      </c>
      <c r="J419" s="17">
        <v>63</v>
      </c>
      <c r="K419" s="17">
        <v>18</v>
      </c>
      <c r="L419" t="str">
        <f>IF('63'!$A$174="","",'63'!$A$174)</f>
        <v/>
      </c>
      <c r="M419" t="str">
        <f>IF('63'!$D$174="","",'63'!$D$174)</f>
        <v/>
      </c>
      <c r="N419" t="str">
        <f>IF('63'!$E$26="","",'63'!$E$26)</f>
        <v/>
      </c>
    </row>
    <row r="420" spans="1:14" hidden="1" x14ac:dyDescent="0.3">
      <c r="A420" t="s">
        <v>216</v>
      </c>
      <c r="B420" s="20" t="s">
        <v>1</v>
      </c>
      <c r="C420" s="11" t="s">
        <v>241</v>
      </c>
      <c r="E420" s="4" t="str">
        <f>IF(C420='63'!$B$27,"TRUE","")</f>
        <v/>
      </c>
      <c r="F420" s="17">
        <v>2</v>
      </c>
      <c r="G420" s="17">
        <v>1</v>
      </c>
      <c r="H420" s="21" t="s">
        <v>18</v>
      </c>
      <c r="J420" s="17">
        <v>63</v>
      </c>
      <c r="K420" s="17">
        <v>18</v>
      </c>
      <c r="L420" t="str">
        <f>IF('63'!$A$174="","",'63'!$A$174)</f>
        <v/>
      </c>
      <c r="M420" t="str">
        <f>IF('63'!$D$174="","",'63'!$D$174)</f>
        <v/>
      </c>
      <c r="N420" t="str">
        <f>IF('63'!$E$26="","",'63'!$E$26)</f>
        <v/>
      </c>
    </row>
    <row r="421" spans="1:14" ht="28.8" hidden="1" x14ac:dyDescent="0.3">
      <c r="A421" t="s">
        <v>216</v>
      </c>
      <c r="B421" s="20" t="s">
        <v>1</v>
      </c>
      <c r="C421" s="12" t="s">
        <v>242</v>
      </c>
      <c r="E421" s="4" t="str">
        <f>IF(C421='63'!$B$27,"TRUE","")</f>
        <v/>
      </c>
      <c r="F421" s="17">
        <v>2</v>
      </c>
      <c r="G421" s="17">
        <v>1</v>
      </c>
      <c r="H421" s="21" t="s">
        <v>18</v>
      </c>
      <c r="J421" s="17">
        <v>63</v>
      </c>
      <c r="K421" s="17">
        <v>18</v>
      </c>
      <c r="L421" t="str">
        <f>IF('63'!$A$174="","",'63'!$A$174)</f>
        <v/>
      </c>
      <c r="M421" t="str">
        <f>IF('63'!$D$174="","",'63'!$D$174)</f>
        <v/>
      </c>
      <c r="N421" t="str">
        <f>IF('63'!$E$26="","",'63'!$E$26)</f>
        <v/>
      </c>
    </row>
    <row r="422" spans="1:14" ht="28.8" hidden="1" x14ac:dyDescent="0.3">
      <c r="A422" t="s">
        <v>216</v>
      </c>
      <c r="B422" s="20" t="s">
        <v>1</v>
      </c>
      <c r="C422" s="12" t="s">
        <v>243</v>
      </c>
      <c r="E422" s="4" t="str">
        <f>IF(C422='63'!$B$27,"TRUE","")</f>
        <v/>
      </c>
      <c r="F422" s="17">
        <v>2</v>
      </c>
      <c r="G422" s="17">
        <v>1</v>
      </c>
      <c r="H422" s="21" t="s">
        <v>18</v>
      </c>
      <c r="J422" s="17">
        <v>63</v>
      </c>
      <c r="K422" s="17">
        <v>18</v>
      </c>
      <c r="L422" t="str">
        <f>IF('63'!$A$174="","",'63'!$A$174)</f>
        <v/>
      </c>
      <c r="M422" t="str">
        <f>IF('63'!$D$174="","",'63'!$D$174)</f>
        <v/>
      </c>
      <c r="N422" t="str">
        <f>IF('63'!$E$26="","",'63'!$E$26)</f>
        <v/>
      </c>
    </row>
    <row r="423" spans="1:14" hidden="1" x14ac:dyDescent="0.3">
      <c r="A423" t="s">
        <v>216</v>
      </c>
      <c r="B423" s="20" t="s">
        <v>1</v>
      </c>
      <c r="C423" s="11" t="s">
        <v>244</v>
      </c>
      <c r="E423" s="4" t="str">
        <f>IF(C423='63'!$B$27,"TRUE","")</f>
        <v/>
      </c>
      <c r="F423" s="17">
        <v>2</v>
      </c>
      <c r="G423" s="17">
        <v>1</v>
      </c>
      <c r="H423" s="21" t="s">
        <v>18</v>
      </c>
      <c r="J423" s="17">
        <v>63</v>
      </c>
      <c r="K423" s="17">
        <v>18</v>
      </c>
      <c r="L423" t="str">
        <f>IF('63'!$A$174="","",'63'!$A$174)</f>
        <v/>
      </c>
      <c r="M423" t="str">
        <f>IF('63'!$D$174="","",'63'!$D$174)</f>
        <v/>
      </c>
      <c r="N423" t="str">
        <f>IF('63'!$E$26="","",'63'!$E$26)</f>
        <v/>
      </c>
    </row>
    <row r="424" spans="1:14" hidden="1" x14ac:dyDescent="0.3">
      <c r="A424" t="s">
        <v>216</v>
      </c>
      <c r="B424" s="20" t="s">
        <v>1</v>
      </c>
      <c r="C424" s="11" t="s">
        <v>245</v>
      </c>
      <c r="E424" s="4" t="str">
        <f>IF(C424='63'!$B$27,"TRUE","")</f>
        <v/>
      </c>
      <c r="F424" s="17">
        <v>2</v>
      </c>
      <c r="G424" s="17">
        <v>1</v>
      </c>
      <c r="H424" s="21" t="s">
        <v>18</v>
      </c>
      <c r="J424" s="17">
        <v>63</v>
      </c>
      <c r="K424" s="17">
        <v>18</v>
      </c>
      <c r="L424" t="str">
        <f>IF('63'!$A$174="","",'63'!$A$174)</f>
        <v/>
      </c>
      <c r="M424" t="str">
        <f>IF('63'!$D$174="","",'63'!$D$174)</f>
        <v/>
      </c>
      <c r="N424" t="str">
        <f>IF('63'!$E$26="","",'63'!$E$26)</f>
        <v/>
      </c>
    </row>
    <row r="425" spans="1:14" hidden="1" x14ac:dyDescent="0.3">
      <c r="A425" t="s">
        <v>217</v>
      </c>
      <c r="B425" s="20" t="s">
        <v>375</v>
      </c>
      <c r="D425">
        <v>-2</v>
      </c>
      <c r="E425" s="4" t="str">
        <f>IF(B425='63'!$B$29,"TRUE","")</f>
        <v/>
      </c>
      <c r="F425" s="17">
        <v>2</v>
      </c>
      <c r="G425" s="17">
        <v>2</v>
      </c>
      <c r="H425" s="21" t="s">
        <v>18</v>
      </c>
      <c r="J425" s="17">
        <v>63</v>
      </c>
      <c r="K425" s="17">
        <v>18</v>
      </c>
      <c r="L425" t="str">
        <f>IF('63'!$A$174="","",'63'!$A$174)</f>
        <v/>
      </c>
      <c r="M425" t="str">
        <f>IF('63'!$D$174="","",'63'!$D$174)</f>
        <v/>
      </c>
      <c r="N425" t="str">
        <f>IF('63'!$E$29="","",'63'!$E$29)</f>
        <v/>
      </c>
    </row>
    <row r="426" spans="1:14" hidden="1" x14ac:dyDescent="0.3">
      <c r="A426" t="s">
        <v>217</v>
      </c>
      <c r="B426" s="20" t="s">
        <v>1</v>
      </c>
      <c r="C426" s="11" t="s">
        <v>246</v>
      </c>
      <c r="E426" s="4" t="str">
        <f>IF(C426='63'!$B$30,"TRUE","")</f>
        <v/>
      </c>
      <c r="F426" s="17">
        <v>2</v>
      </c>
      <c r="G426" s="17">
        <v>2</v>
      </c>
      <c r="H426" s="21" t="s">
        <v>18</v>
      </c>
      <c r="J426" s="17">
        <v>63</v>
      </c>
      <c r="K426" s="17">
        <v>18</v>
      </c>
      <c r="L426" t="str">
        <f>IF('63'!$A$174="","",'63'!$A$174)</f>
        <v/>
      </c>
      <c r="M426" t="str">
        <f>IF('63'!$D$174="","",'63'!$D$174)</f>
        <v/>
      </c>
      <c r="N426" t="str">
        <f>IF('63'!$E$29="","",'63'!$E$29)</f>
        <v/>
      </c>
    </row>
    <row r="427" spans="1:14" hidden="1" x14ac:dyDescent="0.3">
      <c r="A427" t="s">
        <v>217</v>
      </c>
      <c r="B427" s="20" t="s">
        <v>1</v>
      </c>
      <c r="C427" s="11" t="s">
        <v>247</v>
      </c>
      <c r="E427" s="4" t="str">
        <f>IF(C427='63'!$B$30,"TRUE","")</f>
        <v/>
      </c>
      <c r="F427" s="17">
        <v>2</v>
      </c>
      <c r="G427" s="17">
        <v>2</v>
      </c>
      <c r="H427" s="21" t="s">
        <v>18</v>
      </c>
      <c r="J427" s="17">
        <v>63</v>
      </c>
      <c r="K427" s="17">
        <v>18</v>
      </c>
      <c r="L427" t="str">
        <f>IF('63'!$A$174="","",'63'!$A$174)</f>
        <v/>
      </c>
      <c r="M427" t="str">
        <f>IF('63'!$D$174="","",'63'!$D$174)</f>
        <v/>
      </c>
      <c r="N427" t="str">
        <f>IF('63'!$E$29="","",'63'!$E$29)</f>
        <v/>
      </c>
    </row>
    <row r="428" spans="1:14" hidden="1" x14ac:dyDescent="0.3">
      <c r="A428" t="s">
        <v>217</v>
      </c>
      <c r="B428" s="20" t="s">
        <v>1</v>
      </c>
      <c r="C428" s="12" t="s">
        <v>248</v>
      </c>
      <c r="E428" s="4" t="str">
        <f>IF(C428='63'!$B$30,"TRUE","")</f>
        <v/>
      </c>
      <c r="F428" s="17">
        <v>2</v>
      </c>
      <c r="G428" s="17">
        <v>2</v>
      </c>
      <c r="H428" s="21" t="s">
        <v>18</v>
      </c>
      <c r="J428" s="17">
        <v>63</v>
      </c>
      <c r="K428" s="17">
        <v>18</v>
      </c>
      <c r="L428" t="str">
        <f>IF('63'!$A$174="","",'63'!$A$174)</f>
        <v/>
      </c>
      <c r="M428" t="str">
        <f>IF('63'!$D$174="","",'63'!$D$174)</f>
        <v/>
      </c>
      <c r="N428" t="str">
        <f>IF('63'!$E$29="","",'63'!$E$29)</f>
        <v/>
      </c>
    </row>
    <row r="429" spans="1:14" hidden="1" x14ac:dyDescent="0.3">
      <c r="A429" t="s">
        <v>217</v>
      </c>
      <c r="B429" s="20" t="s">
        <v>1</v>
      </c>
      <c r="C429" s="12" t="s">
        <v>249</v>
      </c>
      <c r="E429" s="4" t="str">
        <f>IF(C429='63'!$B$30,"TRUE","")</f>
        <v/>
      </c>
      <c r="F429" s="17">
        <v>2</v>
      </c>
      <c r="G429" s="17">
        <v>2</v>
      </c>
      <c r="H429" s="21" t="s">
        <v>18</v>
      </c>
      <c r="J429" s="17">
        <v>63</v>
      </c>
      <c r="K429" s="17">
        <v>18</v>
      </c>
      <c r="L429" t="str">
        <f>IF('63'!$A$174="","",'63'!$A$174)</f>
        <v/>
      </c>
      <c r="M429" t="str">
        <f>IF('63'!$D$174="","",'63'!$D$174)</f>
        <v/>
      </c>
      <c r="N429" t="str">
        <f>IF('63'!$E$29="","",'63'!$E$29)</f>
        <v/>
      </c>
    </row>
    <row r="430" spans="1:14" hidden="1" x14ac:dyDescent="0.3">
      <c r="A430" t="s">
        <v>217</v>
      </c>
      <c r="B430" s="20" t="s">
        <v>1</v>
      </c>
      <c r="C430" s="12" t="s">
        <v>250</v>
      </c>
      <c r="E430" s="4" t="str">
        <f>IF(C430='63'!$B$30,"TRUE","")</f>
        <v/>
      </c>
      <c r="F430" s="17">
        <v>2</v>
      </c>
      <c r="G430" s="17">
        <v>2</v>
      </c>
      <c r="H430" s="21" t="s">
        <v>18</v>
      </c>
      <c r="J430" s="17">
        <v>63</v>
      </c>
      <c r="K430" s="17">
        <v>18</v>
      </c>
      <c r="L430" t="str">
        <f>IF('63'!$A$174="","",'63'!$A$174)</f>
        <v/>
      </c>
      <c r="M430" t="str">
        <f>IF('63'!$D$174="","",'63'!$D$174)</f>
        <v/>
      </c>
      <c r="N430" t="str">
        <f>IF('63'!$E$29="","",'63'!$E$29)</f>
        <v/>
      </c>
    </row>
    <row r="431" spans="1:14" ht="28.8" hidden="1" x14ac:dyDescent="0.3">
      <c r="A431" t="s">
        <v>217</v>
      </c>
      <c r="B431" s="20" t="s">
        <v>1</v>
      </c>
      <c r="C431" s="12" t="s">
        <v>251</v>
      </c>
      <c r="E431" s="4" t="str">
        <f>IF(C431='63'!$B$30,"TRUE","")</f>
        <v/>
      </c>
      <c r="F431" s="17">
        <v>2</v>
      </c>
      <c r="G431" s="17">
        <v>2</v>
      </c>
      <c r="H431" s="21" t="s">
        <v>18</v>
      </c>
      <c r="J431" s="17">
        <v>63</v>
      </c>
      <c r="K431" s="17">
        <v>18</v>
      </c>
      <c r="L431" t="str">
        <f>IF('63'!$A$174="","",'63'!$A$174)</f>
        <v/>
      </c>
      <c r="M431" t="str">
        <f>IF('63'!$D$174="","",'63'!$D$174)</f>
        <v/>
      </c>
      <c r="N431" t="str">
        <f>IF('63'!$E$29="","",'63'!$E$29)</f>
        <v/>
      </c>
    </row>
    <row r="432" spans="1:14" hidden="1" x14ac:dyDescent="0.3">
      <c r="A432" t="s">
        <v>215</v>
      </c>
      <c r="B432" s="20" t="s">
        <v>375</v>
      </c>
      <c r="D432">
        <v>-2</v>
      </c>
      <c r="E432" s="4" t="str">
        <f>IF(B432='63'!$B$33,"TRUE","")</f>
        <v/>
      </c>
      <c r="F432" s="17">
        <v>3</v>
      </c>
      <c r="G432" s="17">
        <v>0</v>
      </c>
      <c r="H432" s="21" t="s">
        <v>18</v>
      </c>
      <c r="J432" s="17">
        <v>63</v>
      </c>
      <c r="K432" s="17">
        <v>18</v>
      </c>
      <c r="L432" t="str">
        <f>IF('63'!$A$174="","",'63'!$A$174)</f>
        <v/>
      </c>
      <c r="M432" t="str">
        <f>IF('63'!$D$174="","",'63'!$D$174)</f>
        <v/>
      </c>
      <c r="N432" t="str">
        <f>IF('63'!$E$33="","",'63'!$E$33)</f>
        <v/>
      </c>
    </row>
    <row r="433" spans="1:14" hidden="1" x14ac:dyDescent="0.3">
      <c r="A433" t="s">
        <v>215</v>
      </c>
      <c r="B433" s="20" t="s">
        <v>1</v>
      </c>
      <c r="C433" s="11" t="s">
        <v>236</v>
      </c>
      <c r="E433" s="4" t="str">
        <f>IF(C433='63'!$B$34,"TRUE","")</f>
        <v/>
      </c>
      <c r="F433" s="17">
        <v>3</v>
      </c>
      <c r="G433" s="17">
        <v>0</v>
      </c>
      <c r="H433" s="21" t="s">
        <v>18</v>
      </c>
      <c r="J433" s="17">
        <v>63</v>
      </c>
      <c r="K433" s="17">
        <v>18</v>
      </c>
      <c r="L433" t="str">
        <f>IF('63'!$A$174="","",'63'!$A$174)</f>
        <v/>
      </c>
      <c r="M433" t="str">
        <f>IF('63'!$D$174="","",'63'!$D$174)</f>
        <v/>
      </c>
      <c r="N433" t="str">
        <f>IF('63'!$E$33="","",'63'!$E$33)</f>
        <v/>
      </c>
    </row>
    <row r="434" spans="1:14" hidden="1" x14ac:dyDescent="0.3">
      <c r="A434" t="s">
        <v>215</v>
      </c>
      <c r="B434" s="20" t="s">
        <v>1</v>
      </c>
      <c r="C434" s="11" t="s">
        <v>237</v>
      </c>
      <c r="E434" s="4" t="str">
        <f>IF(C434='63'!$B$34,"TRUE","")</f>
        <v/>
      </c>
      <c r="F434" s="17">
        <v>3</v>
      </c>
      <c r="G434" s="17">
        <v>0</v>
      </c>
      <c r="H434" s="21" t="s">
        <v>18</v>
      </c>
      <c r="J434" s="17">
        <v>63</v>
      </c>
      <c r="K434" s="17">
        <v>18</v>
      </c>
      <c r="L434" t="str">
        <f>IF('63'!$A$174="","",'63'!$A$174)</f>
        <v/>
      </c>
      <c r="M434" t="str">
        <f>IF('63'!$D$174="","",'63'!$D$174)</f>
        <v/>
      </c>
      <c r="N434" t="str">
        <f>IF('63'!$E$33="","",'63'!$E$33)</f>
        <v/>
      </c>
    </row>
    <row r="435" spans="1:14" hidden="1" x14ac:dyDescent="0.3">
      <c r="A435" t="s">
        <v>215</v>
      </c>
      <c r="B435" s="20" t="s">
        <v>1</v>
      </c>
      <c r="C435" s="11" t="s">
        <v>238</v>
      </c>
      <c r="E435" s="4" t="str">
        <f>IF(C435='63'!$B$34,"TRUE","")</f>
        <v/>
      </c>
      <c r="F435" s="17">
        <v>3</v>
      </c>
      <c r="G435" s="17">
        <v>0</v>
      </c>
      <c r="H435" s="21" t="s">
        <v>18</v>
      </c>
      <c r="J435" s="17">
        <v>63</v>
      </c>
      <c r="K435" s="17">
        <v>18</v>
      </c>
      <c r="L435" t="str">
        <f>IF('63'!$A$174="","",'63'!$A$174)</f>
        <v/>
      </c>
      <c r="M435" t="str">
        <f>IF('63'!$D$174="","",'63'!$D$174)</f>
        <v/>
      </c>
      <c r="N435" t="str">
        <f>IF('63'!$E$33="","",'63'!$E$33)</f>
        <v/>
      </c>
    </row>
    <row r="436" spans="1:14" hidden="1" x14ac:dyDescent="0.3">
      <c r="A436" t="s">
        <v>215</v>
      </c>
      <c r="B436" s="20" t="s">
        <v>1</v>
      </c>
      <c r="C436" s="11" t="s">
        <v>239</v>
      </c>
      <c r="E436" s="4" t="str">
        <f>IF(C436='63'!$B$34,"TRUE","")</f>
        <v/>
      </c>
      <c r="F436" s="17">
        <v>3</v>
      </c>
      <c r="G436" s="17">
        <v>0</v>
      </c>
      <c r="H436" s="21" t="s">
        <v>18</v>
      </c>
      <c r="J436" s="17">
        <v>63</v>
      </c>
      <c r="K436" s="17">
        <v>18</v>
      </c>
      <c r="L436" t="str">
        <f>IF('63'!$A$174="","",'63'!$A$174)</f>
        <v/>
      </c>
      <c r="M436" t="str">
        <f>IF('63'!$D$174="","",'63'!$D$174)</f>
        <v/>
      </c>
      <c r="N436" t="str">
        <f>IF('63'!$E$33="","",'63'!$E$33)</f>
        <v/>
      </c>
    </row>
    <row r="437" spans="1:14" ht="28.8" hidden="1" x14ac:dyDescent="0.3">
      <c r="A437" t="s">
        <v>215</v>
      </c>
      <c r="B437" s="20" t="s">
        <v>1</v>
      </c>
      <c r="C437" s="12" t="s">
        <v>240</v>
      </c>
      <c r="E437" s="4" t="str">
        <f>IF(C437='63'!$B$34,"TRUE","")</f>
        <v/>
      </c>
      <c r="F437" s="17">
        <v>3</v>
      </c>
      <c r="G437" s="17">
        <v>0</v>
      </c>
      <c r="H437" s="21" t="s">
        <v>18</v>
      </c>
      <c r="J437" s="17">
        <v>63</v>
      </c>
      <c r="K437" s="17">
        <v>18</v>
      </c>
      <c r="L437" t="str">
        <f>IF('63'!$A$174="","",'63'!$A$174)</f>
        <v/>
      </c>
      <c r="M437" t="str">
        <f>IF('63'!$D$174="","",'63'!$D$174)</f>
        <v/>
      </c>
      <c r="N437" t="str">
        <f>IF('63'!$E$33="","",'63'!$E$33)</f>
        <v/>
      </c>
    </row>
    <row r="438" spans="1:14" hidden="1" x14ac:dyDescent="0.3">
      <c r="A438" t="s">
        <v>216</v>
      </c>
      <c r="B438" s="20" t="s">
        <v>375</v>
      </c>
      <c r="D438">
        <v>-2</v>
      </c>
      <c r="E438" s="4" t="str">
        <f>IF(B438='63'!$B$36,"TRUE","")</f>
        <v/>
      </c>
      <c r="F438" s="17">
        <v>3</v>
      </c>
      <c r="G438" s="17">
        <v>1</v>
      </c>
      <c r="H438" s="21" t="s">
        <v>18</v>
      </c>
      <c r="J438" s="17">
        <v>63</v>
      </c>
      <c r="K438" s="17">
        <v>18</v>
      </c>
      <c r="L438" t="str">
        <f>IF('63'!$A$174="","",'63'!$A$174)</f>
        <v/>
      </c>
      <c r="M438" t="str">
        <f>IF('63'!$D$174="","",'63'!$D$174)</f>
        <v/>
      </c>
      <c r="N438" t="str">
        <f>IF('63'!$E$36="","",'63'!$E$36)</f>
        <v/>
      </c>
    </row>
    <row r="439" spans="1:14" hidden="1" x14ac:dyDescent="0.3">
      <c r="A439" t="s">
        <v>216</v>
      </c>
      <c r="B439" s="20" t="s">
        <v>1</v>
      </c>
      <c r="C439" s="11" t="s">
        <v>241</v>
      </c>
      <c r="E439" s="4" t="str">
        <f>IF(C439='63'!$B$37,"TRUE","")</f>
        <v/>
      </c>
      <c r="F439" s="17">
        <v>3</v>
      </c>
      <c r="G439" s="17">
        <v>1</v>
      </c>
      <c r="H439" s="21" t="s">
        <v>18</v>
      </c>
      <c r="J439" s="17">
        <v>63</v>
      </c>
      <c r="K439" s="17">
        <v>18</v>
      </c>
      <c r="L439" t="str">
        <f>IF('63'!$A$174="","",'63'!$A$174)</f>
        <v/>
      </c>
      <c r="M439" t="str">
        <f>IF('63'!$D$174="","",'63'!$D$174)</f>
        <v/>
      </c>
      <c r="N439" t="str">
        <f>IF('63'!$E$36="","",'63'!$E$36)</f>
        <v/>
      </c>
    </row>
    <row r="440" spans="1:14" ht="28.8" hidden="1" x14ac:dyDescent="0.3">
      <c r="A440" t="s">
        <v>216</v>
      </c>
      <c r="B440" s="20" t="s">
        <v>1</v>
      </c>
      <c r="C440" s="12" t="s">
        <v>242</v>
      </c>
      <c r="E440" s="4" t="str">
        <f>IF(C440='63'!$B$37,"TRUE","")</f>
        <v/>
      </c>
      <c r="F440" s="17">
        <v>3</v>
      </c>
      <c r="G440" s="17">
        <v>1</v>
      </c>
      <c r="H440" s="21" t="s">
        <v>18</v>
      </c>
      <c r="J440" s="17">
        <v>63</v>
      </c>
      <c r="K440" s="17">
        <v>18</v>
      </c>
      <c r="L440" t="str">
        <f>IF('63'!$A$174="","",'63'!$A$174)</f>
        <v/>
      </c>
      <c r="M440" t="str">
        <f>IF('63'!$D$174="","",'63'!$D$174)</f>
        <v/>
      </c>
      <c r="N440" t="str">
        <f>IF('63'!$E$36="","",'63'!$E$36)</f>
        <v/>
      </c>
    </row>
    <row r="441" spans="1:14" ht="28.8" hidden="1" x14ac:dyDescent="0.3">
      <c r="A441" t="s">
        <v>216</v>
      </c>
      <c r="B441" s="20" t="s">
        <v>1</v>
      </c>
      <c r="C441" s="12" t="s">
        <v>243</v>
      </c>
      <c r="E441" s="4" t="str">
        <f>IF(C441='63'!$B$37,"TRUE","")</f>
        <v/>
      </c>
      <c r="F441" s="17">
        <v>3</v>
      </c>
      <c r="G441" s="17">
        <v>1</v>
      </c>
      <c r="H441" s="21" t="s">
        <v>18</v>
      </c>
      <c r="J441" s="17">
        <v>63</v>
      </c>
      <c r="K441" s="17">
        <v>18</v>
      </c>
      <c r="L441" t="str">
        <f>IF('63'!$A$174="","",'63'!$A$174)</f>
        <v/>
      </c>
      <c r="M441" t="str">
        <f>IF('63'!$D$174="","",'63'!$D$174)</f>
        <v/>
      </c>
      <c r="N441" t="str">
        <f>IF('63'!$E$36="","",'63'!$E$36)</f>
        <v/>
      </c>
    </row>
    <row r="442" spans="1:14" hidden="1" x14ac:dyDescent="0.3">
      <c r="A442" t="s">
        <v>216</v>
      </c>
      <c r="B442" s="20" t="s">
        <v>1</v>
      </c>
      <c r="C442" s="11" t="s">
        <v>244</v>
      </c>
      <c r="E442" s="4" t="str">
        <f>IF(C442='63'!$B$37,"TRUE","")</f>
        <v/>
      </c>
      <c r="F442" s="17">
        <v>3</v>
      </c>
      <c r="G442" s="17">
        <v>1</v>
      </c>
      <c r="H442" s="21" t="s">
        <v>18</v>
      </c>
      <c r="J442" s="17">
        <v>63</v>
      </c>
      <c r="K442" s="17">
        <v>18</v>
      </c>
      <c r="L442" t="str">
        <f>IF('63'!$A$174="","",'63'!$A$174)</f>
        <v/>
      </c>
      <c r="M442" t="str">
        <f>IF('63'!$D$174="","",'63'!$D$174)</f>
        <v/>
      </c>
      <c r="N442" t="str">
        <f>IF('63'!$E$36="","",'63'!$E$36)</f>
        <v/>
      </c>
    </row>
    <row r="443" spans="1:14" hidden="1" x14ac:dyDescent="0.3">
      <c r="A443" t="s">
        <v>216</v>
      </c>
      <c r="B443" s="20" t="s">
        <v>1</v>
      </c>
      <c r="C443" s="11" t="s">
        <v>245</v>
      </c>
      <c r="E443" s="4" t="str">
        <f>IF(C443='63'!$B$37,"TRUE","")</f>
        <v/>
      </c>
      <c r="F443" s="17">
        <v>3</v>
      </c>
      <c r="G443" s="17">
        <v>1</v>
      </c>
      <c r="H443" s="21" t="s">
        <v>18</v>
      </c>
      <c r="J443" s="17">
        <v>63</v>
      </c>
      <c r="K443" s="17">
        <v>18</v>
      </c>
      <c r="L443" t="str">
        <f>IF('63'!$A$174="","",'63'!$A$174)</f>
        <v/>
      </c>
      <c r="M443" t="str">
        <f>IF('63'!$D$174="","",'63'!$D$174)</f>
        <v/>
      </c>
      <c r="N443" t="str">
        <f>IF('63'!$E$36="","",'63'!$E$36)</f>
        <v/>
      </c>
    </row>
    <row r="444" spans="1:14" hidden="1" x14ac:dyDescent="0.3">
      <c r="A444" t="s">
        <v>217</v>
      </c>
      <c r="B444" s="20" t="s">
        <v>375</v>
      </c>
      <c r="D444">
        <v>-2</v>
      </c>
      <c r="E444" s="4" t="str">
        <f>IF(B444='63'!$B$39,"TRUE","")</f>
        <v/>
      </c>
      <c r="F444" s="17">
        <v>3</v>
      </c>
      <c r="G444" s="17">
        <v>2</v>
      </c>
      <c r="H444" s="21" t="s">
        <v>18</v>
      </c>
      <c r="J444" s="17">
        <v>63</v>
      </c>
      <c r="K444" s="17">
        <v>18</v>
      </c>
      <c r="L444" t="str">
        <f>IF('63'!$A$174="","",'63'!$A$174)</f>
        <v/>
      </c>
      <c r="M444" t="str">
        <f>IF('63'!$D$174="","",'63'!$D$174)</f>
        <v/>
      </c>
      <c r="N444" t="str">
        <f>IF('63'!$E$39="","",'63'!$E$39)</f>
        <v/>
      </c>
    </row>
    <row r="445" spans="1:14" hidden="1" x14ac:dyDescent="0.3">
      <c r="A445" t="s">
        <v>217</v>
      </c>
      <c r="B445" s="20" t="s">
        <v>1</v>
      </c>
      <c r="C445" s="11" t="s">
        <v>246</v>
      </c>
      <c r="E445" s="4" t="str">
        <f>IF(C445='63'!$B$40,"TRUE","")</f>
        <v/>
      </c>
      <c r="F445" s="17">
        <v>3</v>
      </c>
      <c r="G445" s="17">
        <v>2</v>
      </c>
      <c r="H445" s="21" t="s">
        <v>18</v>
      </c>
      <c r="J445" s="17">
        <v>63</v>
      </c>
      <c r="K445" s="17">
        <v>18</v>
      </c>
      <c r="L445" t="str">
        <f>IF('63'!$A$174="","",'63'!$A$174)</f>
        <v/>
      </c>
      <c r="M445" t="str">
        <f>IF('63'!$D$174="","",'63'!$D$174)</f>
        <v/>
      </c>
      <c r="N445" t="str">
        <f>IF('63'!$E$39="","",'63'!$E$39)</f>
        <v/>
      </c>
    </row>
    <row r="446" spans="1:14" hidden="1" x14ac:dyDescent="0.3">
      <c r="A446" t="s">
        <v>217</v>
      </c>
      <c r="B446" s="20" t="s">
        <v>1</v>
      </c>
      <c r="C446" s="11" t="s">
        <v>247</v>
      </c>
      <c r="E446" s="4" t="str">
        <f>IF(C446='63'!$B$40,"TRUE","")</f>
        <v/>
      </c>
      <c r="F446" s="17">
        <v>3</v>
      </c>
      <c r="G446" s="17">
        <v>2</v>
      </c>
      <c r="H446" s="21" t="s">
        <v>18</v>
      </c>
      <c r="J446" s="17">
        <v>63</v>
      </c>
      <c r="K446" s="17">
        <v>18</v>
      </c>
      <c r="L446" t="str">
        <f>IF('63'!$A$174="","",'63'!$A$174)</f>
        <v/>
      </c>
      <c r="M446" t="str">
        <f>IF('63'!$D$174="","",'63'!$D$174)</f>
        <v/>
      </c>
      <c r="N446" t="str">
        <f>IF('63'!$E$39="","",'63'!$E$39)</f>
        <v/>
      </c>
    </row>
    <row r="447" spans="1:14" hidden="1" x14ac:dyDescent="0.3">
      <c r="A447" t="s">
        <v>217</v>
      </c>
      <c r="B447" s="20" t="s">
        <v>1</v>
      </c>
      <c r="C447" s="12" t="s">
        <v>248</v>
      </c>
      <c r="E447" s="4" t="str">
        <f>IF(C447='63'!$B$40,"TRUE","")</f>
        <v/>
      </c>
      <c r="F447" s="17">
        <v>3</v>
      </c>
      <c r="G447" s="17">
        <v>2</v>
      </c>
      <c r="H447" s="21" t="s">
        <v>18</v>
      </c>
      <c r="J447" s="17">
        <v>63</v>
      </c>
      <c r="K447" s="17">
        <v>18</v>
      </c>
      <c r="L447" t="str">
        <f>IF('63'!$A$174="","",'63'!$A$174)</f>
        <v/>
      </c>
      <c r="M447" t="str">
        <f>IF('63'!$D$174="","",'63'!$D$174)</f>
        <v/>
      </c>
      <c r="N447" t="str">
        <f>IF('63'!$E$39="","",'63'!$E$39)</f>
        <v/>
      </c>
    </row>
    <row r="448" spans="1:14" hidden="1" x14ac:dyDescent="0.3">
      <c r="A448" t="s">
        <v>217</v>
      </c>
      <c r="B448" s="20" t="s">
        <v>1</v>
      </c>
      <c r="C448" s="12" t="s">
        <v>249</v>
      </c>
      <c r="E448" s="4" t="str">
        <f>IF(C448='63'!$B$40,"TRUE","")</f>
        <v/>
      </c>
      <c r="F448" s="17">
        <v>3</v>
      </c>
      <c r="G448" s="17">
        <v>2</v>
      </c>
      <c r="H448" s="21" t="s">
        <v>18</v>
      </c>
      <c r="J448" s="17">
        <v>63</v>
      </c>
      <c r="K448" s="17">
        <v>18</v>
      </c>
      <c r="L448" t="str">
        <f>IF('63'!$A$174="","",'63'!$A$174)</f>
        <v/>
      </c>
      <c r="M448" t="str">
        <f>IF('63'!$D$174="","",'63'!$D$174)</f>
        <v/>
      </c>
      <c r="N448" t="str">
        <f>IF('63'!$E$39="","",'63'!$E$39)</f>
        <v/>
      </c>
    </row>
    <row r="449" spans="1:14" hidden="1" x14ac:dyDescent="0.3">
      <c r="A449" t="s">
        <v>217</v>
      </c>
      <c r="B449" s="20" t="s">
        <v>1</v>
      </c>
      <c r="C449" s="12" t="s">
        <v>250</v>
      </c>
      <c r="E449" s="4" t="str">
        <f>IF(C449='63'!$B$40,"TRUE","")</f>
        <v/>
      </c>
      <c r="F449" s="17">
        <v>3</v>
      </c>
      <c r="G449" s="17">
        <v>2</v>
      </c>
      <c r="H449" s="21" t="s">
        <v>18</v>
      </c>
      <c r="J449" s="17">
        <v>63</v>
      </c>
      <c r="K449" s="17">
        <v>18</v>
      </c>
      <c r="L449" t="str">
        <f>IF('63'!$A$174="","",'63'!$A$174)</f>
        <v/>
      </c>
      <c r="M449" t="str">
        <f>IF('63'!$D$174="","",'63'!$D$174)</f>
        <v/>
      </c>
      <c r="N449" t="str">
        <f>IF('63'!$E$39="","",'63'!$E$39)</f>
        <v/>
      </c>
    </row>
    <row r="450" spans="1:14" ht="28.8" hidden="1" x14ac:dyDescent="0.3">
      <c r="A450" t="s">
        <v>217</v>
      </c>
      <c r="B450" s="20" t="s">
        <v>1</v>
      </c>
      <c r="C450" s="12" t="s">
        <v>251</v>
      </c>
      <c r="E450" s="4" t="str">
        <f>IF(C450='63'!$B$40,"TRUE","")</f>
        <v/>
      </c>
      <c r="F450" s="17">
        <v>3</v>
      </c>
      <c r="G450" s="17">
        <v>2</v>
      </c>
      <c r="H450" s="21" t="s">
        <v>18</v>
      </c>
      <c r="J450" s="17">
        <v>63</v>
      </c>
      <c r="K450" s="17">
        <v>18</v>
      </c>
      <c r="L450" t="str">
        <f>IF('63'!$A$174="","",'63'!$A$174)</f>
        <v/>
      </c>
      <c r="M450" t="str">
        <f>IF('63'!$D$174="","",'63'!$D$174)</f>
        <v/>
      </c>
      <c r="N450" t="str">
        <f>IF('63'!$E$39="","",'63'!$E$39)</f>
        <v/>
      </c>
    </row>
    <row r="451" spans="1:14" hidden="1" x14ac:dyDescent="0.3">
      <c r="A451" t="s">
        <v>215</v>
      </c>
      <c r="B451" s="20" t="s">
        <v>375</v>
      </c>
      <c r="D451">
        <v>-2</v>
      </c>
      <c r="E451" s="4" t="str">
        <f>IF(B451='63'!$B$43,"TRUE","")</f>
        <v/>
      </c>
      <c r="F451" s="17">
        <v>4</v>
      </c>
      <c r="G451" s="17">
        <v>0</v>
      </c>
      <c r="H451" s="21" t="s">
        <v>18</v>
      </c>
      <c r="J451" s="17">
        <v>63</v>
      </c>
      <c r="K451" s="17">
        <v>18</v>
      </c>
      <c r="L451" t="str">
        <f>IF('63'!$A$174="","",'63'!$A$174)</f>
        <v/>
      </c>
      <c r="M451" t="str">
        <f>IF('63'!$D$174="","",'63'!$D$174)</f>
        <v/>
      </c>
      <c r="N451" t="str">
        <f>IF('63'!$E$43="","",'63'!$E$43)</f>
        <v/>
      </c>
    </row>
    <row r="452" spans="1:14" hidden="1" x14ac:dyDescent="0.3">
      <c r="A452" t="s">
        <v>215</v>
      </c>
      <c r="B452" s="20" t="s">
        <v>1</v>
      </c>
      <c r="C452" s="11" t="s">
        <v>236</v>
      </c>
      <c r="E452" s="4" t="str">
        <f>IF(C452='63'!$B$44,"TRUE","")</f>
        <v/>
      </c>
      <c r="F452" s="17">
        <v>4</v>
      </c>
      <c r="G452" s="17">
        <v>0</v>
      </c>
      <c r="H452" s="21" t="s">
        <v>18</v>
      </c>
      <c r="J452" s="17">
        <v>63</v>
      </c>
      <c r="K452" s="17">
        <v>18</v>
      </c>
      <c r="L452" t="str">
        <f>IF('63'!$A$174="","",'63'!$A$174)</f>
        <v/>
      </c>
      <c r="M452" t="str">
        <f>IF('63'!$D$174="","",'63'!$D$174)</f>
        <v/>
      </c>
      <c r="N452" t="str">
        <f>IF('63'!$E$43="","",'63'!$E$43)</f>
        <v/>
      </c>
    </row>
    <row r="453" spans="1:14" hidden="1" x14ac:dyDescent="0.3">
      <c r="A453" t="s">
        <v>215</v>
      </c>
      <c r="B453" s="20" t="s">
        <v>1</v>
      </c>
      <c r="C453" s="11" t="s">
        <v>237</v>
      </c>
      <c r="E453" s="4" t="str">
        <f>IF(C453='63'!$B$44,"TRUE","")</f>
        <v/>
      </c>
      <c r="F453" s="17">
        <v>4</v>
      </c>
      <c r="G453" s="17">
        <v>0</v>
      </c>
      <c r="H453" s="21" t="s">
        <v>18</v>
      </c>
      <c r="J453" s="17">
        <v>63</v>
      </c>
      <c r="K453" s="17">
        <v>18</v>
      </c>
      <c r="L453" t="str">
        <f>IF('63'!$A$174="","",'63'!$A$174)</f>
        <v/>
      </c>
      <c r="M453" t="str">
        <f>IF('63'!$D$174="","",'63'!$D$174)</f>
        <v/>
      </c>
      <c r="N453" t="str">
        <f>IF('63'!$E$43="","",'63'!$E$43)</f>
        <v/>
      </c>
    </row>
    <row r="454" spans="1:14" hidden="1" x14ac:dyDescent="0.3">
      <c r="A454" t="s">
        <v>215</v>
      </c>
      <c r="B454" s="20" t="s">
        <v>1</v>
      </c>
      <c r="C454" s="11" t="s">
        <v>238</v>
      </c>
      <c r="E454" s="4" t="str">
        <f>IF(C454='63'!$B$44,"TRUE","")</f>
        <v/>
      </c>
      <c r="F454" s="17">
        <v>4</v>
      </c>
      <c r="G454" s="17">
        <v>0</v>
      </c>
      <c r="H454" s="21" t="s">
        <v>18</v>
      </c>
      <c r="J454" s="17">
        <v>63</v>
      </c>
      <c r="K454" s="17">
        <v>18</v>
      </c>
      <c r="L454" t="str">
        <f>IF('63'!$A$174="","",'63'!$A$174)</f>
        <v/>
      </c>
      <c r="M454" t="str">
        <f>IF('63'!$D$174="","",'63'!$D$174)</f>
        <v/>
      </c>
      <c r="N454" t="str">
        <f>IF('63'!$E$43="","",'63'!$E$43)</f>
        <v/>
      </c>
    </row>
    <row r="455" spans="1:14" hidden="1" x14ac:dyDescent="0.3">
      <c r="A455" t="s">
        <v>215</v>
      </c>
      <c r="B455" s="20" t="s">
        <v>1</v>
      </c>
      <c r="C455" s="11" t="s">
        <v>239</v>
      </c>
      <c r="E455" s="4" t="str">
        <f>IF(C455='63'!$B$44,"TRUE","")</f>
        <v/>
      </c>
      <c r="F455" s="17">
        <v>4</v>
      </c>
      <c r="G455" s="17">
        <v>0</v>
      </c>
      <c r="H455" s="21" t="s">
        <v>18</v>
      </c>
      <c r="J455" s="17">
        <v>63</v>
      </c>
      <c r="K455" s="17">
        <v>18</v>
      </c>
      <c r="L455" t="str">
        <f>IF('63'!$A$174="","",'63'!$A$174)</f>
        <v/>
      </c>
      <c r="M455" t="str">
        <f>IF('63'!$D$174="","",'63'!$D$174)</f>
        <v/>
      </c>
      <c r="N455" t="str">
        <f>IF('63'!$E$43="","",'63'!$E$43)</f>
        <v/>
      </c>
    </row>
    <row r="456" spans="1:14" ht="28.8" hidden="1" x14ac:dyDescent="0.3">
      <c r="A456" t="s">
        <v>215</v>
      </c>
      <c r="B456" s="20" t="s">
        <v>1</v>
      </c>
      <c r="C456" s="12" t="s">
        <v>240</v>
      </c>
      <c r="E456" s="4" t="str">
        <f>IF(C456='63'!$B$44,"TRUE","")</f>
        <v/>
      </c>
      <c r="F456" s="17">
        <v>4</v>
      </c>
      <c r="G456" s="17">
        <v>0</v>
      </c>
      <c r="H456" s="21" t="s">
        <v>18</v>
      </c>
      <c r="J456" s="17">
        <v>63</v>
      </c>
      <c r="K456" s="17">
        <v>18</v>
      </c>
      <c r="L456" t="str">
        <f>IF('63'!$A$174="","",'63'!$A$174)</f>
        <v/>
      </c>
      <c r="M456" t="str">
        <f>IF('63'!$D$174="","",'63'!$D$174)</f>
        <v/>
      </c>
      <c r="N456" t="str">
        <f>IF('63'!$E$43="","",'63'!$E$43)</f>
        <v/>
      </c>
    </row>
    <row r="457" spans="1:14" hidden="1" x14ac:dyDescent="0.3">
      <c r="A457" t="s">
        <v>216</v>
      </c>
      <c r="B457" s="20" t="s">
        <v>375</v>
      </c>
      <c r="D457">
        <v>-2</v>
      </c>
      <c r="E457" s="4" t="str">
        <f>IF(B457='63'!$B$46,"TRUE","")</f>
        <v/>
      </c>
      <c r="F457" s="17">
        <v>4</v>
      </c>
      <c r="G457" s="17">
        <v>1</v>
      </c>
      <c r="H457" s="21" t="s">
        <v>18</v>
      </c>
      <c r="J457" s="17">
        <v>63</v>
      </c>
      <c r="K457" s="17">
        <v>18</v>
      </c>
      <c r="L457" t="str">
        <f>IF('63'!$A$174="","",'63'!$A$174)</f>
        <v/>
      </c>
      <c r="M457" t="str">
        <f>IF('63'!$D$174="","",'63'!$D$174)</f>
        <v/>
      </c>
      <c r="N457" t="str">
        <f>IF('63'!$E$46="","",'63'!$E$46)</f>
        <v/>
      </c>
    </row>
    <row r="458" spans="1:14" hidden="1" x14ac:dyDescent="0.3">
      <c r="A458" t="s">
        <v>216</v>
      </c>
      <c r="B458" s="20" t="s">
        <v>1</v>
      </c>
      <c r="C458" s="11" t="s">
        <v>241</v>
      </c>
      <c r="E458" s="4" t="str">
        <f>IF(C458='63'!$B$47,"TRUE","")</f>
        <v/>
      </c>
      <c r="F458" s="17">
        <v>4</v>
      </c>
      <c r="G458" s="17">
        <v>1</v>
      </c>
      <c r="H458" s="21" t="s">
        <v>18</v>
      </c>
      <c r="J458" s="17">
        <v>63</v>
      </c>
      <c r="K458" s="17">
        <v>18</v>
      </c>
      <c r="L458" t="str">
        <f>IF('63'!$A$174="","",'63'!$A$174)</f>
        <v/>
      </c>
      <c r="M458" t="str">
        <f>IF('63'!$D$174="","",'63'!$D$174)</f>
        <v/>
      </c>
      <c r="N458" t="str">
        <f>IF('63'!$E$46="","",'63'!$E$46)</f>
        <v/>
      </c>
    </row>
    <row r="459" spans="1:14" ht="28.8" hidden="1" x14ac:dyDescent="0.3">
      <c r="A459" t="s">
        <v>216</v>
      </c>
      <c r="B459" s="20" t="s">
        <v>1</v>
      </c>
      <c r="C459" s="12" t="s">
        <v>242</v>
      </c>
      <c r="E459" s="4" t="str">
        <f>IF(C459='63'!$B$47,"TRUE","")</f>
        <v/>
      </c>
      <c r="F459" s="17">
        <v>4</v>
      </c>
      <c r="G459" s="17">
        <v>1</v>
      </c>
      <c r="H459" s="21" t="s">
        <v>18</v>
      </c>
      <c r="J459" s="17">
        <v>63</v>
      </c>
      <c r="K459" s="17">
        <v>18</v>
      </c>
      <c r="L459" t="str">
        <f>IF('63'!$A$174="","",'63'!$A$174)</f>
        <v/>
      </c>
      <c r="M459" t="str">
        <f>IF('63'!$D$174="","",'63'!$D$174)</f>
        <v/>
      </c>
      <c r="N459" t="str">
        <f>IF('63'!$E$46="","",'63'!$E$46)</f>
        <v/>
      </c>
    </row>
    <row r="460" spans="1:14" ht="28.8" hidden="1" x14ac:dyDescent="0.3">
      <c r="A460" t="s">
        <v>216</v>
      </c>
      <c r="B460" s="20" t="s">
        <v>1</v>
      </c>
      <c r="C460" s="12" t="s">
        <v>243</v>
      </c>
      <c r="E460" s="4" t="str">
        <f>IF(C460='63'!$B$47,"TRUE","")</f>
        <v/>
      </c>
      <c r="F460" s="17">
        <v>4</v>
      </c>
      <c r="G460" s="17">
        <v>1</v>
      </c>
      <c r="H460" s="21" t="s">
        <v>18</v>
      </c>
      <c r="J460" s="17">
        <v>63</v>
      </c>
      <c r="K460" s="17">
        <v>18</v>
      </c>
      <c r="L460" t="str">
        <f>IF('63'!$A$174="","",'63'!$A$174)</f>
        <v/>
      </c>
      <c r="M460" t="str">
        <f>IF('63'!$D$174="","",'63'!$D$174)</f>
        <v/>
      </c>
      <c r="N460" t="str">
        <f>IF('63'!$E$46="","",'63'!$E$46)</f>
        <v/>
      </c>
    </row>
    <row r="461" spans="1:14" hidden="1" x14ac:dyDescent="0.3">
      <c r="A461" t="s">
        <v>216</v>
      </c>
      <c r="B461" s="20" t="s">
        <v>1</v>
      </c>
      <c r="C461" s="11" t="s">
        <v>244</v>
      </c>
      <c r="E461" s="4" t="str">
        <f>IF(C461='63'!$B$47,"TRUE","")</f>
        <v/>
      </c>
      <c r="F461" s="17">
        <v>4</v>
      </c>
      <c r="G461" s="17">
        <v>1</v>
      </c>
      <c r="H461" s="21" t="s">
        <v>18</v>
      </c>
      <c r="J461" s="17">
        <v>63</v>
      </c>
      <c r="K461" s="17">
        <v>18</v>
      </c>
      <c r="L461" t="str">
        <f>IF('63'!$A$174="","",'63'!$A$174)</f>
        <v/>
      </c>
      <c r="M461" t="str">
        <f>IF('63'!$D$174="","",'63'!$D$174)</f>
        <v/>
      </c>
      <c r="N461" t="str">
        <f>IF('63'!$E$46="","",'63'!$E$46)</f>
        <v/>
      </c>
    </row>
    <row r="462" spans="1:14" hidden="1" x14ac:dyDescent="0.3">
      <c r="A462" t="s">
        <v>216</v>
      </c>
      <c r="B462" s="20" t="s">
        <v>1</v>
      </c>
      <c r="C462" s="11" t="s">
        <v>245</v>
      </c>
      <c r="E462" s="4" t="str">
        <f>IF(C462='63'!$B$47,"TRUE","")</f>
        <v/>
      </c>
      <c r="F462" s="17">
        <v>4</v>
      </c>
      <c r="G462" s="17">
        <v>1</v>
      </c>
      <c r="H462" s="21" t="s">
        <v>18</v>
      </c>
      <c r="J462" s="17">
        <v>63</v>
      </c>
      <c r="K462" s="17">
        <v>18</v>
      </c>
      <c r="L462" t="str">
        <f>IF('63'!$A$174="","",'63'!$A$174)</f>
        <v/>
      </c>
      <c r="M462" t="str">
        <f>IF('63'!$D$174="","",'63'!$D$174)</f>
        <v/>
      </c>
      <c r="N462" t="str">
        <f>IF('63'!$E$46="","",'63'!$E$46)</f>
        <v/>
      </c>
    </row>
    <row r="463" spans="1:14" hidden="1" x14ac:dyDescent="0.3">
      <c r="A463" t="s">
        <v>217</v>
      </c>
      <c r="B463" s="20" t="s">
        <v>375</v>
      </c>
      <c r="D463">
        <v>-2</v>
      </c>
      <c r="E463" s="4" t="str">
        <f>IF(B463='63'!$B$49,"TRUE","")</f>
        <v/>
      </c>
      <c r="F463" s="17">
        <v>4</v>
      </c>
      <c r="G463" s="17">
        <v>2</v>
      </c>
      <c r="H463" s="21" t="s">
        <v>18</v>
      </c>
      <c r="J463" s="17">
        <v>63</v>
      </c>
      <c r="K463" s="17">
        <v>18</v>
      </c>
      <c r="L463" t="str">
        <f>IF('63'!$A$174="","",'63'!$A$174)</f>
        <v/>
      </c>
      <c r="M463" t="str">
        <f>IF('63'!$D$174="","",'63'!$D$174)</f>
        <v/>
      </c>
      <c r="N463" t="str">
        <f>IF('63'!$E$49="","",'63'!$E$49)</f>
        <v/>
      </c>
    </row>
    <row r="464" spans="1:14" hidden="1" x14ac:dyDescent="0.3">
      <c r="A464" t="s">
        <v>217</v>
      </c>
      <c r="B464" s="20" t="s">
        <v>1</v>
      </c>
      <c r="C464" s="11" t="s">
        <v>246</v>
      </c>
      <c r="E464" s="4" t="str">
        <f>IF(C464='63'!$B$50,"TRUE","")</f>
        <v/>
      </c>
      <c r="F464" s="17">
        <v>4</v>
      </c>
      <c r="G464" s="17">
        <v>2</v>
      </c>
      <c r="H464" s="21" t="s">
        <v>18</v>
      </c>
      <c r="J464" s="17">
        <v>63</v>
      </c>
      <c r="K464" s="17">
        <v>18</v>
      </c>
      <c r="L464" t="str">
        <f>IF('63'!$A$174="","",'63'!$A$174)</f>
        <v/>
      </c>
      <c r="M464" t="str">
        <f>IF('63'!$D$174="","",'63'!$D$174)</f>
        <v/>
      </c>
      <c r="N464" t="str">
        <f>IF('63'!$E$49="","",'63'!$E$49)</f>
        <v/>
      </c>
    </row>
    <row r="465" spans="1:14" hidden="1" x14ac:dyDescent="0.3">
      <c r="A465" t="s">
        <v>217</v>
      </c>
      <c r="B465" s="20" t="s">
        <v>1</v>
      </c>
      <c r="C465" s="11" t="s">
        <v>247</v>
      </c>
      <c r="E465" s="4" t="str">
        <f>IF(C465='63'!$B$50,"TRUE","")</f>
        <v/>
      </c>
      <c r="F465" s="17">
        <v>4</v>
      </c>
      <c r="G465" s="17">
        <v>2</v>
      </c>
      <c r="H465" s="21" t="s">
        <v>18</v>
      </c>
      <c r="J465" s="17">
        <v>63</v>
      </c>
      <c r="K465" s="17">
        <v>18</v>
      </c>
      <c r="L465" t="str">
        <f>IF('63'!$A$174="","",'63'!$A$174)</f>
        <v/>
      </c>
      <c r="M465" t="str">
        <f>IF('63'!$D$174="","",'63'!$D$174)</f>
        <v/>
      </c>
      <c r="N465" t="str">
        <f>IF('63'!$E$49="","",'63'!$E$49)</f>
        <v/>
      </c>
    </row>
    <row r="466" spans="1:14" hidden="1" x14ac:dyDescent="0.3">
      <c r="A466" t="s">
        <v>217</v>
      </c>
      <c r="B466" s="20" t="s">
        <v>1</v>
      </c>
      <c r="C466" s="12" t="s">
        <v>248</v>
      </c>
      <c r="E466" s="4" t="str">
        <f>IF(C466='63'!$B$50,"TRUE","")</f>
        <v/>
      </c>
      <c r="F466" s="17">
        <v>4</v>
      </c>
      <c r="G466" s="17">
        <v>2</v>
      </c>
      <c r="H466" s="21" t="s">
        <v>18</v>
      </c>
      <c r="J466" s="17">
        <v>63</v>
      </c>
      <c r="K466" s="17">
        <v>18</v>
      </c>
      <c r="L466" t="str">
        <f>IF('63'!$A$174="","",'63'!$A$174)</f>
        <v/>
      </c>
      <c r="M466" t="str">
        <f>IF('63'!$D$174="","",'63'!$D$174)</f>
        <v/>
      </c>
      <c r="N466" t="str">
        <f>IF('63'!$E$49="","",'63'!$E$49)</f>
        <v/>
      </c>
    </row>
    <row r="467" spans="1:14" hidden="1" x14ac:dyDescent="0.3">
      <c r="A467" t="s">
        <v>217</v>
      </c>
      <c r="B467" s="20" t="s">
        <v>1</v>
      </c>
      <c r="C467" s="12" t="s">
        <v>249</v>
      </c>
      <c r="E467" s="4" t="str">
        <f>IF(C467='63'!$B$50,"TRUE","")</f>
        <v/>
      </c>
      <c r="F467" s="17">
        <v>4</v>
      </c>
      <c r="G467" s="17">
        <v>2</v>
      </c>
      <c r="H467" s="21" t="s">
        <v>18</v>
      </c>
      <c r="J467" s="17">
        <v>63</v>
      </c>
      <c r="K467" s="17">
        <v>18</v>
      </c>
      <c r="L467" t="str">
        <f>IF('63'!$A$174="","",'63'!$A$174)</f>
        <v/>
      </c>
      <c r="M467" t="str">
        <f>IF('63'!$D$174="","",'63'!$D$174)</f>
        <v/>
      </c>
      <c r="N467" t="str">
        <f>IF('63'!$E$49="","",'63'!$E$49)</f>
        <v/>
      </c>
    </row>
    <row r="468" spans="1:14" hidden="1" x14ac:dyDescent="0.3">
      <c r="A468" t="s">
        <v>217</v>
      </c>
      <c r="B468" s="20" t="s">
        <v>1</v>
      </c>
      <c r="C468" s="12" t="s">
        <v>250</v>
      </c>
      <c r="E468" s="4" t="str">
        <f>IF(C468='63'!$B$50,"TRUE","")</f>
        <v/>
      </c>
      <c r="F468" s="17">
        <v>4</v>
      </c>
      <c r="G468" s="17">
        <v>2</v>
      </c>
      <c r="H468" s="21" t="s">
        <v>18</v>
      </c>
      <c r="J468" s="17">
        <v>63</v>
      </c>
      <c r="K468" s="17">
        <v>18</v>
      </c>
      <c r="L468" t="str">
        <f>IF('63'!$A$174="","",'63'!$A$174)</f>
        <v/>
      </c>
      <c r="M468" t="str">
        <f>IF('63'!$D$174="","",'63'!$D$174)</f>
        <v/>
      </c>
      <c r="N468" t="str">
        <f>IF('63'!$E$49="","",'63'!$E$49)</f>
        <v/>
      </c>
    </row>
    <row r="469" spans="1:14" ht="28.8" hidden="1" x14ac:dyDescent="0.3">
      <c r="A469" t="s">
        <v>217</v>
      </c>
      <c r="B469" s="20" t="s">
        <v>1</v>
      </c>
      <c r="C469" s="12" t="s">
        <v>251</v>
      </c>
      <c r="E469" s="4" t="str">
        <f>IF(C469='63'!$B$50,"TRUE","")</f>
        <v/>
      </c>
      <c r="F469" s="17">
        <v>4</v>
      </c>
      <c r="G469" s="17">
        <v>2</v>
      </c>
      <c r="H469" s="21" t="s">
        <v>18</v>
      </c>
      <c r="J469" s="17">
        <v>63</v>
      </c>
      <c r="K469" s="17">
        <v>18</v>
      </c>
      <c r="L469" t="str">
        <f>IF('63'!$A$174="","",'63'!$A$174)</f>
        <v/>
      </c>
      <c r="M469" t="str">
        <f>IF('63'!$D$174="","",'63'!$D$174)</f>
        <v/>
      </c>
      <c r="N469" t="str">
        <f>IF('63'!$E$49="","",'63'!$E$49)</f>
        <v/>
      </c>
    </row>
    <row r="470" spans="1:14" hidden="1" x14ac:dyDescent="0.3">
      <c r="A470" t="s">
        <v>215</v>
      </c>
      <c r="B470" s="20" t="s">
        <v>375</v>
      </c>
      <c r="D470">
        <v>-2</v>
      </c>
      <c r="E470" s="4" t="str">
        <f>IF(B470='63'!$B$53,"TRUE","")</f>
        <v/>
      </c>
      <c r="F470" s="17">
        <v>5</v>
      </c>
      <c r="G470" s="17">
        <v>0</v>
      </c>
      <c r="H470" s="21" t="s">
        <v>18</v>
      </c>
      <c r="J470" s="17">
        <v>63</v>
      </c>
      <c r="K470" s="17">
        <v>18</v>
      </c>
      <c r="L470" t="str">
        <f>IF('63'!$A$174="","",'63'!$A$174)</f>
        <v/>
      </c>
      <c r="M470" t="str">
        <f>IF('63'!$D$174="","",'63'!$D$174)</f>
        <v/>
      </c>
      <c r="N470" t="str">
        <f>IF('63'!$E$53="","",'63'!$E$53)</f>
        <v/>
      </c>
    </row>
    <row r="471" spans="1:14" hidden="1" x14ac:dyDescent="0.3">
      <c r="A471" t="s">
        <v>215</v>
      </c>
      <c r="B471" s="20" t="s">
        <v>1</v>
      </c>
      <c r="C471" s="11" t="s">
        <v>236</v>
      </c>
      <c r="E471" s="4" t="str">
        <f>IF(C471='63'!$B$54,"TRUE","")</f>
        <v/>
      </c>
      <c r="F471" s="17">
        <v>5</v>
      </c>
      <c r="G471" s="17">
        <v>0</v>
      </c>
      <c r="H471" s="21" t="s">
        <v>18</v>
      </c>
      <c r="J471" s="17">
        <v>63</v>
      </c>
      <c r="K471" s="17">
        <v>18</v>
      </c>
      <c r="L471" t="str">
        <f>IF('63'!$A$174="","",'63'!$A$174)</f>
        <v/>
      </c>
      <c r="M471" t="str">
        <f>IF('63'!$D$174="","",'63'!$D$174)</f>
        <v/>
      </c>
      <c r="N471" t="str">
        <f>IF('63'!$E$53="","",'63'!$E$53)</f>
        <v/>
      </c>
    </row>
    <row r="472" spans="1:14" hidden="1" x14ac:dyDescent="0.3">
      <c r="A472" t="s">
        <v>215</v>
      </c>
      <c r="B472" s="20" t="s">
        <v>1</v>
      </c>
      <c r="C472" s="11" t="s">
        <v>237</v>
      </c>
      <c r="E472" s="4" t="str">
        <f>IF(C472='63'!$B$54,"TRUE","")</f>
        <v/>
      </c>
      <c r="F472" s="17">
        <v>5</v>
      </c>
      <c r="G472" s="17">
        <v>0</v>
      </c>
      <c r="H472" s="21" t="s">
        <v>18</v>
      </c>
      <c r="J472" s="17">
        <v>63</v>
      </c>
      <c r="K472" s="17">
        <v>18</v>
      </c>
      <c r="L472" t="str">
        <f>IF('63'!$A$174="","",'63'!$A$174)</f>
        <v/>
      </c>
      <c r="M472" t="str">
        <f>IF('63'!$D$174="","",'63'!$D$174)</f>
        <v/>
      </c>
      <c r="N472" t="str">
        <f>IF('63'!$E$53="","",'63'!$E$53)</f>
        <v/>
      </c>
    </row>
    <row r="473" spans="1:14" hidden="1" x14ac:dyDescent="0.3">
      <c r="A473" t="s">
        <v>215</v>
      </c>
      <c r="B473" s="20" t="s">
        <v>1</v>
      </c>
      <c r="C473" s="11" t="s">
        <v>238</v>
      </c>
      <c r="E473" s="4" t="str">
        <f>IF(C473='63'!$B$54,"TRUE","")</f>
        <v/>
      </c>
      <c r="F473" s="17">
        <v>5</v>
      </c>
      <c r="G473" s="17">
        <v>0</v>
      </c>
      <c r="H473" s="21" t="s">
        <v>18</v>
      </c>
      <c r="J473" s="17">
        <v>63</v>
      </c>
      <c r="K473" s="17">
        <v>18</v>
      </c>
      <c r="L473" t="str">
        <f>IF('63'!$A$174="","",'63'!$A$174)</f>
        <v/>
      </c>
      <c r="M473" t="str">
        <f>IF('63'!$D$174="","",'63'!$D$174)</f>
        <v/>
      </c>
      <c r="N473" t="str">
        <f>IF('63'!$E$53="","",'63'!$E$53)</f>
        <v/>
      </c>
    </row>
    <row r="474" spans="1:14" hidden="1" x14ac:dyDescent="0.3">
      <c r="A474" t="s">
        <v>215</v>
      </c>
      <c r="B474" s="20" t="s">
        <v>1</v>
      </c>
      <c r="C474" s="11" t="s">
        <v>239</v>
      </c>
      <c r="E474" s="4" t="str">
        <f>IF(C474='63'!$B$54,"TRUE","")</f>
        <v/>
      </c>
      <c r="F474" s="17">
        <v>5</v>
      </c>
      <c r="G474" s="17">
        <v>0</v>
      </c>
      <c r="H474" s="21" t="s">
        <v>18</v>
      </c>
      <c r="J474" s="17">
        <v>63</v>
      </c>
      <c r="K474" s="17">
        <v>18</v>
      </c>
      <c r="L474" t="str">
        <f>IF('63'!$A$174="","",'63'!$A$174)</f>
        <v/>
      </c>
      <c r="M474" t="str">
        <f>IF('63'!$D$174="","",'63'!$D$174)</f>
        <v/>
      </c>
      <c r="N474" t="str">
        <f>IF('63'!$E$53="","",'63'!$E$53)</f>
        <v/>
      </c>
    </row>
    <row r="475" spans="1:14" ht="28.8" hidden="1" x14ac:dyDescent="0.3">
      <c r="A475" t="s">
        <v>215</v>
      </c>
      <c r="B475" s="20" t="s">
        <v>1</v>
      </c>
      <c r="C475" s="12" t="s">
        <v>240</v>
      </c>
      <c r="E475" s="4" t="str">
        <f>IF(C475='63'!$B$54,"TRUE","")</f>
        <v/>
      </c>
      <c r="F475" s="17">
        <v>5</v>
      </c>
      <c r="G475" s="17">
        <v>0</v>
      </c>
      <c r="H475" s="21" t="s">
        <v>18</v>
      </c>
      <c r="J475" s="17">
        <v>63</v>
      </c>
      <c r="K475" s="17">
        <v>18</v>
      </c>
      <c r="L475" t="str">
        <f>IF('63'!$A$174="","",'63'!$A$174)</f>
        <v/>
      </c>
      <c r="M475" t="str">
        <f>IF('63'!$D$174="","",'63'!$D$174)</f>
        <v/>
      </c>
      <c r="N475" t="str">
        <f>IF('63'!$E$53="","",'63'!$E$53)</f>
        <v/>
      </c>
    </row>
    <row r="476" spans="1:14" hidden="1" x14ac:dyDescent="0.3">
      <c r="A476" t="s">
        <v>216</v>
      </c>
      <c r="B476" s="20" t="s">
        <v>375</v>
      </c>
      <c r="D476">
        <v>-2</v>
      </c>
      <c r="E476" s="4" t="str">
        <f>IF(B476='63'!$B$56,"TRUE","")</f>
        <v/>
      </c>
      <c r="F476" s="17">
        <v>5</v>
      </c>
      <c r="G476" s="17">
        <v>1</v>
      </c>
      <c r="H476" s="21" t="s">
        <v>18</v>
      </c>
      <c r="J476" s="17">
        <v>63</v>
      </c>
      <c r="K476" s="17">
        <v>18</v>
      </c>
      <c r="L476" t="str">
        <f>IF('63'!$A$174="","",'63'!$A$174)</f>
        <v/>
      </c>
      <c r="M476" t="str">
        <f>IF('63'!$D$174="","",'63'!$D$174)</f>
        <v/>
      </c>
      <c r="N476" t="str">
        <f>IF('63'!$E$56="","",'63'!$E$56)</f>
        <v/>
      </c>
    </row>
    <row r="477" spans="1:14" hidden="1" x14ac:dyDescent="0.3">
      <c r="A477" t="s">
        <v>216</v>
      </c>
      <c r="B477" s="20" t="s">
        <v>1</v>
      </c>
      <c r="C477" s="11" t="s">
        <v>241</v>
      </c>
      <c r="E477" s="4" t="str">
        <f>IF(C477='63'!$B$57,"TRUE","")</f>
        <v/>
      </c>
      <c r="F477" s="17">
        <v>5</v>
      </c>
      <c r="G477" s="17">
        <v>1</v>
      </c>
      <c r="H477" s="21" t="s">
        <v>18</v>
      </c>
      <c r="J477" s="17">
        <v>63</v>
      </c>
      <c r="K477" s="17">
        <v>18</v>
      </c>
      <c r="L477" t="str">
        <f>IF('63'!$A$174="","",'63'!$A$174)</f>
        <v/>
      </c>
      <c r="M477" t="str">
        <f>IF('63'!$D$174="","",'63'!$D$174)</f>
        <v/>
      </c>
      <c r="N477" t="str">
        <f>IF('63'!$E$56="","",'63'!$E$56)</f>
        <v/>
      </c>
    </row>
    <row r="478" spans="1:14" ht="28.8" hidden="1" x14ac:dyDescent="0.3">
      <c r="A478" t="s">
        <v>216</v>
      </c>
      <c r="B478" s="20" t="s">
        <v>1</v>
      </c>
      <c r="C478" s="12" t="s">
        <v>242</v>
      </c>
      <c r="E478" s="4" t="str">
        <f>IF(C478='63'!$B$57,"TRUE","")</f>
        <v/>
      </c>
      <c r="F478" s="17">
        <v>5</v>
      </c>
      <c r="G478" s="17">
        <v>1</v>
      </c>
      <c r="H478" s="21" t="s">
        <v>18</v>
      </c>
      <c r="J478" s="17">
        <v>63</v>
      </c>
      <c r="K478" s="17">
        <v>18</v>
      </c>
      <c r="L478" t="str">
        <f>IF('63'!$A$174="","",'63'!$A$174)</f>
        <v/>
      </c>
      <c r="M478" t="str">
        <f>IF('63'!$D$174="","",'63'!$D$174)</f>
        <v/>
      </c>
      <c r="N478" t="str">
        <f>IF('63'!$E$56="","",'63'!$E$56)</f>
        <v/>
      </c>
    </row>
    <row r="479" spans="1:14" ht="28.8" hidden="1" x14ac:dyDescent="0.3">
      <c r="A479" t="s">
        <v>216</v>
      </c>
      <c r="B479" s="20" t="s">
        <v>1</v>
      </c>
      <c r="C479" s="12" t="s">
        <v>243</v>
      </c>
      <c r="E479" s="4" t="str">
        <f>IF(C479='63'!$B$57,"TRUE","")</f>
        <v/>
      </c>
      <c r="F479" s="17">
        <v>5</v>
      </c>
      <c r="G479" s="17">
        <v>1</v>
      </c>
      <c r="H479" s="21" t="s">
        <v>18</v>
      </c>
      <c r="J479" s="17">
        <v>63</v>
      </c>
      <c r="K479" s="17">
        <v>18</v>
      </c>
      <c r="L479" t="str">
        <f>IF('63'!$A$174="","",'63'!$A$174)</f>
        <v/>
      </c>
      <c r="M479" t="str">
        <f>IF('63'!$D$174="","",'63'!$D$174)</f>
        <v/>
      </c>
      <c r="N479" t="str">
        <f>IF('63'!$E$56="","",'63'!$E$56)</f>
        <v/>
      </c>
    </row>
    <row r="480" spans="1:14" hidden="1" x14ac:dyDescent="0.3">
      <c r="A480" t="s">
        <v>216</v>
      </c>
      <c r="B480" s="20" t="s">
        <v>1</v>
      </c>
      <c r="C480" s="11" t="s">
        <v>244</v>
      </c>
      <c r="E480" s="4" t="str">
        <f>IF(C480='63'!$B$57,"TRUE","")</f>
        <v/>
      </c>
      <c r="F480" s="17">
        <v>5</v>
      </c>
      <c r="G480" s="17">
        <v>1</v>
      </c>
      <c r="H480" s="21" t="s">
        <v>18</v>
      </c>
      <c r="J480" s="17">
        <v>63</v>
      </c>
      <c r="K480" s="17">
        <v>18</v>
      </c>
      <c r="L480" t="str">
        <f>IF('63'!$A$174="","",'63'!$A$174)</f>
        <v/>
      </c>
      <c r="M480" t="str">
        <f>IF('63'!$D$174="","",'63'!$D$174)</f>
        <v/>
      </c>
      <c r="N480" t="str">
        <f>IF('63'!$E$56="","",'63'!$E$56)</f>
        <v/>
      </c>
    </row>
    <row r="481" spans="1:14" hidden="1" x14ac:dyDescent="0.3">
      <c r="A481" t="s">
        <v>216</v>
      </c>
      <c r="B481" s="20" t="s">
        <v>1</v>
      </c>
      <c r="C481" s="11" t="s">
        <v>245</v>
      </c>
      <c r="E481" s="4" t="str">
        <f>IF(C481='63'!$B$57,"TRUE","")</f>
        <v/>
      </c>
      <c r="F481" s="17">
        <v>5</v>
      </c>
      <c r="G481" s="17">
        <v>1</v>
      </c>
      <c r="H481" s="21" t="s">
        <v>18</v>
      </c>
      <c r="J481" s="17">
        <v>63</v>
      </c>
      <c r="K481" s="17">
        <v>18</v>
      </c>
      <c r="L481" t="str">
        <f>IF('63'!$A$174="","",'63'!$A$174)</f>
        <v/>
      </c>
      <c r="M481" t="str">
        <f>IF('63'!$D$174="","",'63'!$D$174)</f>
        <v/>
      </c>
      <c r="N481" t="str">
        <f>IF('63'!$E$56="","",'63'!$E$56)</f>
        <v/>
      </c>
    </row>
    <row r="482" spans="1:14" hidden="1" x14ac:dyDescent="0.3">
      <c r="A482" t="s">
        <v>217</v>
      </c>
      <c r="B482" s="20" t="s">
        <v>375</v>
      </c>
      <c r="D482">
        <v>-2</v>
      </c>
      <c r="E482" s="4" t="str">
        <f>IF(B482='63'!$B$59,"TRUE","")</f>
        <v/>
      </c>
      <c r="F482" s="17">
        <v>5</v>
      </c>
      <c r="G482" s="17">
        <v>2</v>
      </c>
      <c r="H482" s="21" t="s">
        <v>18</v>
      </c>
      <c r="J482" s="17">
        <v>63</v>
      </c>
      <c r="K482" s="17">
        <v>18</v>
      </c>
      <c r="L482" t="str">
        <f>IF('63'!$A$174="","",'63'!$A$174)</f>
        <v/>
      </c>
      <c r="M482" t="str">
        <f>IF('63'!$D$174="","",'63'!$D$174)</f>
        <v/>
      </c>
      <c r="N482" t="str">
        <f>IF('63'!$E$59="","",'63'!$E$59)</f>
        <v/>
      </c>
    </row>
    <row r="483" spans="1:14" hidden="1" x14ac:dyDescent="0.3">
      <c r="A483" t="s">
        <v>217</v>
      </c>
      <c r="B483" s="20" t="s">
        <v>1</v>
      </c>
      <c r="C483" s="11" t="s">
        <v>246</v>
      </c>
      <c r="E483" s="4" t="str">
        <f>IF(C483='63'!$B$60,"TRUE","")</f>
        <v/>
      </c>
      <c r="F483" s="17">
        <v>5</v>
      </c>
      <c r="G483" s="17">
        <v>2</v>
      </c>
      <c r="H483" s="21" t="s">
        <v>18</v>
      </c>
      <c r="J483" s="17">
        <v>63</v>
      </c>
      <c r="K483" s="17">
        <v>18</v>
      </c>
      <c r="L483" t="str">
        <f>IF('63'!$A$174="","",'63'!$A$174)</f>
        <v/>
      </c>
      <c r="M483" t="str">
        <f>IF('63'!$D$174="","",'63'!$D$174)</f>
        <v/>
      </c>
      <c r="N483" t="str">
        <f>IF('63'!$E$59="","",'63'!$E$59)</f>
        <v/>
      </c>
    </row>
    <row r="484" spans="1:14" hidden="1" x14ac:dyDescent="0.3">
      <c r="A484" t="s">
        <v>217</v>
      </c>
      <c r="B484" s="20" t="s">
        <v>1</v>
      </c>
      <c r="C484" s="11" t="s">
        <v>247</v>
      </c>
      <c r="E484" s="4" t="str">
        <f>IF(C484='63'!$B$60,"TRUE","")</f>
        <v/>
      </c>
      <c r="F484" s="17">
        <v>5</v>
      </c>
      <c r="G484" s="17">
        <v>2</v>
      </c>
      <c r="H484" s="21" t="s">
        <v>18</v>
      </c>
      <c r="J484" s="17">
        <v>63</v>
      </c>
      <c r="K484" s="17">
        <v>18</v>
      </c>
      <c r="L484" t="str">
        <f>IF('63'!$A$174="","",'63'!$A$174)</f>
        <v/>
      </c>
      <c r="M484" t="str">
        <f>IF('63'!$D$174="","",'63'!$D$174)</f>
        <v/>
      </c>
      <c r="N484" t="str">
        <f>IF('63'!$E$59="","",'63'!$E$59)</f>
        <v/>
      </c>
    </row>
    <row r="485" spans="1:14" hidden="1" x14ac:dyDescent="0.3">
      <c r="A485" t="s">
        <v>217</v>
      </c>
      <c r="B485" s="20" t="s">
        <v>1</v>
      </c>
      <c r="C485" s="12" t="s">
        <v>248</v>
      </c>
      <c r="E485" s="4" t="str">
        <f>IF(C485='63'!$B$60,"TRUE","")</f>
        <v/>
      </c>
      <c r="F485" s="17">
        <v>5</v>
      </c>
      <c r="G485" s="17">
        <v>2</v>
      </c>
      <c r="H485" s="21" t="s">
        <v>18</v>
      </c>
      <c r="J485" s="17">
        <v>63</v>
      </c>
      <c r="K485" s="17">
        <v>18</v>
      </c>
      <c r="L485" t="str">
        <f>IF('63'!$A$174="","",'63'!$A$174)</f>
        <v/>
      </c>
      <c r="M485" t="str">
        <f>IF('63'!$D$174="","",'63'!$D$174)</f>
        <v/>
      </c>
      <c r="N485" t="str">
        <f>IF('63'!$E$59="","",'63'!$E$59)</f>
        <v/>
      </c>
    </row>
    <row r="486" spans="1:14" hidden="1" x14ac:dyDescent="0.3">
      <c r="A486" t="s">
        <v>217</v>
      </c>
      <c r="B486" s="20" t="s">
        <v>1</v>
      </c>
      <c r="C486" s="12" t="s">
        <v>249</v>
      </c>
      <c r="E486" s="4" t="str">
        <f>IF(C486='63'!$B$60,"TRUE","")</f>
        <v/>
      </c>
      <c r="F486" s="17">
        <v>5</v>
      </c>
      <c r="G486" s="17">
        <v>2</v>
      </c>
      <c r="H486" s="21" t="s">
        <v>18</v>
      </c>
      <c r="J486" s="17">
        <v>63</v>
      </c>
      <c r="K486" s="17">
        <v>18</v>
      </c>
      <c r="L486" t="str">
        <f>IF('63'!$A$174="","",'63'!$A$174)</f>
        <v/>
      </c>
      <c r="M486" t="str">
        <f>IF('63'!$D$174="","",'63'!$D$174)</f>
        <v/>
      </c>
      <c r="N486" t="str">
        <f>IF('63'!$E$59="","",'63'!$E$59)</f>
        <v/>
      </c>
    </row>
    <row r="487" spans="1:14" hidden="1" x14ac:dyDescent="0.3">
      <c r="A487" t="s">
        <v>217</v>
      </c>
      <c r="B487" s="20" t="s">
        <v>1</v>
      </c>
      <c r="C487" s="12" t="s">
        <v>250</v>
      </c>
      <c r="E487" s="4" t="str">
        <f>IF(C487='63'!$B$60,"TRUE","")</f>
        <v/>
      </c>
      <c r="F487" s="17">
        <v>5</v>
      </c>
      <c r="G487" s="17">
        <v>2</v>
      </c>
      <c r="H487" s="21" t="s">
        <v>18</v>
      </c>
      <c r="J487" s="17">
        <v>63</v>
      </c>
      <c r="K487" s="17">
        <v>18</v>
      </c>
      <c r="L487" t="str">
        <f>IF('63'!$A$174="","",'63'!$A$174)</f>
        <v/>
      </c>
      <c r="M487" t="str">
        <f>IF('63'!$D$174="","",'63'!$D$174)</f>
        <v/>
      </c>
      <c r="N487" t="str">
        <f>IF('63'!$E$59="","",'63'!$E$59)</f>
        <v/>
      </c>
    </row>
    <row r="488" spans="1:14" ht="28.8" hidden="1" x14ac:dyDescent="0.3">
      <c r="A488" t="s">
        <v>217</v>
      </c>
      <c r="B488" s="20" t="s">
        <v>1</v>
      </c>
      <c r="C488" s="12" t="s">
        <v>251</v>
      </c>
      <c r="E488" s="4" t="str">
        <f>IF(C488='63'!$B$60,"TRUE","")</f>
        <v/>
      </c>
      <c r="F488" s="17">
        <v>5</v>
      </c>
      <c r="G488" s="17">
        <v>2</v>
      </c>
      <c r="H488" s="21" t="s">
        <v>18</v>
      </c>
      <c r="J488" s="17">
        <v>63</v>
      </c>
      <c r="K488" s="17">
        <v>18</v>
      </c>
      <c r="L488" t="str">
        <f>IF('63'!$A$174="","",'63'!$A$174)</f>
        <v/>
      </c>
      <c r="M488" t="str">
        <f>IF('63'!$D$174="","",'63'!$D$174)</f>
        <v/>
      </c>
      <c r="N488" t="str">
        <f>IF('63'!$E$59="","",'63'!$E$59)</f>
        <v/>
      </c>
    </row>
    <row r="489" spans="1:14" hidden="1" x14ac:dyDescent="0.3">
      <c r="A489" t="s">
        <v>215</v>
      </c>
      <c r="B489" s="20" t="s">
        <v>375</v>
      </c>
      <c r="D489">
        <v>-2</v>
      </c>
      <c r="E489" s="4" t="str">
        <f>IF(B489='63'!$B$63,"TRUE","")</f>
        <v/>
      </c>
      <c r="F489" s="17">
        <v>6</v>
      </c>
      <c r="G489" s="17">
        <v>0</v>
      </c>
      <c r="H489" s="21" t="s">
        <v>18</v>
      </c>
      <c r="J489" s="17">
        <v>63</v>
      </c>
      <c r="K489" s="17">
        <v>18</v>
      </c>
      <c r="L489" t="str">
        <f>IF('63'!$A$174="","",'63'!$A$174)</f>
        <v/>
      </c>
      <c r="M489" t="str">
        <f>IF('63'!$D$174="","",'63'!$D$174)</f>
        <v/>
      </c>
      <c r="N489" t="str">
        <f>IF('63'!$E$63="","",'63'!$E$63)</f>
        <v/>
      </c>
    </row>
    <row r="490" spans="1:14" hidden="1" x14ac:dyDescent="0.3">
      <c r="A490" t="s">
        <v>215</v>
      </c>
      <c r="B490" s="20" t="s">
        <v>1</v>
      </c>
      <c r="C490" s="11" t="s">
        <v>236</v>
      </c>
      <c r="E490" s="4" t="str">
        <f>IF(C490='63'!$B$64,"TRUE","")</f>
        <v/>
      </c>
      <c r="F490" s="17">
        <v>6</v>
      </c>
      <c r="G490" s="17">
        <v>0</v>
      </c>
      <c r="H490" s="21" t="s">
        <v>18</v>
      </c>
      <c r="J490" s="17">
        <v>63</v>
      </c>
      <c r="K490" s="17">
        <v>18</v>
      </c>
      <c r="L490" t="str">
        <f>IF('63'!$A$174="","",'63'!$A$174)</f>
        <v/>
      </c>
      <c r="M490" t="str">
        <f>IF('63'!$D$174="","",'63'!$D$174)</f>
        <v/>
      </c>
      <c r="N490" t="str">
        <f>IF('63'!$E$63="","",'63'!$E$63)</f>
        <v/>
      </c>
    </row>
    <row r="491" spans="1:14" hidden="1" x14ac:dyDescent="0.3">
      <c r="A491" t="s">
        <v>215</v>
      </c>
      <c r="B491" s="20" t="s">
        <v>1</v>
      </c>
      <c r="C491" s="11" t="s">
        <v>237</v>
      </c>
      <c r="E491" s="4" t="str">
        <f>IF(C491='63'!$B$64,"TRUE","")</f>
        <v/>
      </c>
      <c r="F491" s="17">
        <v>6</v>
      </c>
      <c r="G491" s="17">
        <v>0</v>
      </c>
      <c r="H491" s="21" t="s">
        <v>18</v>
      </c>
      <c r="J491" s="17">
        <v>63</v>
      </c>
      <c r="K491" s="17">
        <v>18</v>
      </c>
      <c r="L491" t="str">
        <f>IF('63'!$A$174="","",'63'!$A$174)</f>
        <v/>
      </c>
      <c r="M491" t="str">
        <f>IF('63'!$D$174="","",'63'!$D$174)</f>
        <v/>
      </c>
      <c r="N491" t="str">
        <f>IF('63'!$E$63="","",'63'!$E$63)</f>
        <v/>
      </c>
    </row>
    <row r="492" spans="1:14" hidden="1" x14ac:dyDescent="0.3">
      <c r="A492" t="s">
        <v>215</v>
      </c>
      <c r="B492" s="20" t="s">
        <v>1</v>
      </c>
      <c r="C492" s="11" t="s">
        <v>238</v>
      </c>
      <c r="E492" s="4" t="str">
        <f>IF(C492='63'!$B$64,"TRUE","")</f>
        <v/>
      </c>
      <c r="F492" s="17">
        <v>6</v>
      </c>
      <c r="G492" s="17">
        <v>0</v>
      </c>
      <c r="H492" s="21" t="s">
        <v>18</v>
      </c>
      <c r="J492" s="17">
        <v>63</v>
      </c>
      <c r="K492" s="17">
        <v>18</v>
      </c>
      <c r="L492" t="str">
        <f>IF('63'!$A$174="","",'63'!$A$174)</f>
        <v/>
      </c>
      <c r="M492" t="str">
        <f>IF('63'!$D$174="","",'63'!$D$174)</f>
        <v/>
      </c>
      <c r="N492" t="str">
        <f>IF('63'!$E$63="","",'63'!$E$63)</f>
        <v/>
      </c>
    </row>
    <row r="493" spans="1:14" hidden="1" x14ac:dyDescent="0.3">
      <c r="A493" t="s">
        <v>215</v>
      </c>
      <c r="B493" s="20" t="s">
        <v>1</v>
      </c>
      <c r="C493" s="11" t="s">
        <v>239</v>
      </c>
      <c r="E493" s="4" t="str">
        <f>IF(C493='63'!$B$64,"TRUE","")</f>
        <v/>
      </c>
      <c r="F493" s="17">
        <v>6</v>
      </c>
      <c r="G493" s="17">
        <v>0</v>
      </c>
      <c r="H493" s="21" t="s">
        <v>18</v>
      </c>
      <c r="J493" s="17">
        <v>63</v>
      </c>
      <c r="K493" s="17">
        <v>18</v>
      </c>
      <c r="L493" t="str">
        <f>IF('63'!$A$174="","",'63'!$A$174)</f>
        <v/>
      </c>
      <c r="M493" t="str">
        <f>IF('63'!$D$174="","",'63'!$D$174)</f>
        <v/>
      </c>
      <c r="N493" t="str">
        <f>IF('63'!$E$63="","",'63'!$E$63)</f>
        <v/>
      </c>
    </row>
    <row r="494" spans="1:14" ht="28.8" hidden="1" x14ac:dyDescent="0.3">
      <c r="A494" t="s">
        <v>215</v>
      </c>
      <c r="B494" s="20" t="s">
        <v>1</v>
      </c>
      <c r="C494" s="12" t="s">
        <v>240</v>
      </c>
      <c r="E494" s="4" t="str">
        <f>IF(C494='63'!$B$64,"TRUE","")</f>
        <v/>
      </c>
      <c r="F494" s="17">
        <v>6</v>
      </c>
      <c r="G494" s="17">
        <v>0</v>
      </c>
      <c r="H494" s="21" t="s">
        <v>18</v>
      </c>
      <c r="J494" s="17">
        <v>63</v>
      </c>
      <c r="K494" s="17">
        <v>18</v>
      </c>
      <c r="L494" t="str">
        <f>IF('63'!$A$174="","",'63'!$A$174)</f>
        <v/>
      </c>
      <c r="M494" t="str">
        <f>IF('63'!$D$174="","",'63'!$D$174)</f>
        <v/>
      </c>
      <c r="N494" t="str">
        <f>IF('63'!$E$63="","",'63'!$E$63)</f>
        <v/>
      </c>
    </row>
    <row r="495" spans="1:14" hidden="1" x14ac:dyDescent="0.3">
      <c r="A495" t="s">
        <v>216</v>
      </c>
      <c r="B495" s="20" t="s">
        <v>375</v>
      </c>
      <c r="D495">
        <v>-2</v>
      </c>
      <c r="E495" s="4" t="str">
        <f>IF(B495='63'!$B$66,"TRUE","")</f>
        <v/>
      </c>
      <c r="F495" s="17">
        <v>6</v>
      </c>
      <c r="G495" s="17">
        <v>1</v>
      </c>
      <c r="H495" s="21" t="s">
        <v>18</v>
      </c>
      <c r="J495" s="17">
        <v>63</v>
      </c>
      <c r="K495" s="17">
        <v>18</v>
      </c>
      <c r="L495" t="str">
        <f>IF('63'!$A$174="","",'63'!$A$174)</f>
        <v/>
      </c>
      <c r="M495" t="str">
        <f>IF('63'!$D$174="","",'63'!$D$174)</f>
        <v/>
      </c>
      <c r="N495" t="str">
        <f>IF('63'!$E$66="","",'63'!$E$66)</f>
        <v/>
      </c>
    </row>
    <row r="496" spans="1:14" hidden="1" x14ac:dyDescent="0.3">
      <c r="A496" t="s">
        <v>216</v>
      </c>
      <c r="B496" s="20" t="s">
        <v>1</v>
      </c>
      <c r="C496" s="11" t="s">
        <v>241</v>
      </c>
      <c r="E496" s="4" t="str">
        <f>IF(C496='63'!$B$67,"TRUE","")</f>
        <v/>
      </c>
      <c r="F496" s="17">
        <v>6</v>
      </c>
      <c r="G496" s="17">
        <v>1</v>
      </c>
      <c r="H496" s="21" t="s">
        <v>18</v>
      </c>
      <c r="J496" s="17">
        <v>63</v>
      </c>
      <c r="K496" s="17">
        <v>18</v>
      </c>
      <c r="L496" t="str">
        <f>IF('63'!$A$174="","",'63'!$A$174)</f>
        <v/>
      </c>
      <c r="M496" t="str">
        <f>IF('63'!$D$174="","",'63'!$D$174)</f>
        <v/>
      </c>
      <c r="N496" t="str">
        <f>IF('63'!$E$66="","",'63'!$E$66)</f>
        <v/>
      </c>
    </row>
    <row r="497" spans="1:14" ht="28.8" hidden="1" x14ac:dyDescent="0.3">
      <c r="A497" t="s">
        <v>216</v>
      </c>
      <c r="B497" s="20" t="s">
        <v>1</v>
      </c>
      <c r="C497" s="12" t="s">
        <v>242</v>
      </c>
      <c r="E497" s="4" t="str">
        <f>IF(C497='63'!$B$67,"TRUE","")</f>
        <v/>
      </c>
      <c r="F497" s="17">
        <v>6</v>
      </c>
      <c r="G497" s="17">
        <v>1</v>
      </c>
      <c r="H497" s="21" t="s">
        <v>18</v>
      </c>
      <c r="J497" s="17">
        <v>63</v>
      </c>
      <c r="K497" s="17">
        <v>18</v>
      </c>
      <c r="L497" t="str">
        <f>IF('63'!$A$174="","",'63'!$A$174)</f>
        <v/>
      </c>
      <c r="M497" t="str">
        <f>IF('63'!$D$174="","",'63'!$D$174)</f>
        <v/>
      </c>
      <c r="N497" t="str">
        <f>IF('63'!$E$66="","",'63'!$E$66)</f>
        <v/>
      </c>
    </row>
    <row r="498" spans="1:14" ht="28.8" hidden="1" x14ac:dyDescent="0.3">
      <c r="A498" t="s">
        <v>216</v>
      </c>
      <c r="B498" s="20" t="s">
        <v>1</v>
      </c>
      <c r="C498" s="12" t="s">
        <v>243</v>
      </c>
      <c r="E498" s="4" t="str">
        <f>IF(C498='63'!$B$67,"TRUE","")</f>
        <v/>
      </c>
      <c r="F498" s="17">
        <v>6</v>
      </c>
      <c r="G498" s="17">
        <v>1</v>
      </c>
      <c r="H498" s="21" t="s">
        <v>18</v>
      </c>
      <c r="J498" s="17">
        <v>63</v>
      </c>
      <c r="K498" s="17">
        <v>18</v>
      </c>
      <c r="L498" t="str">
        <f>IF('63'!$A$174="","",'63'!$A$174)</f>
        <v/>
      </c>
      <c r="M498" t="str">
        <f>IF('63'!$D$174="","",'63'!$D$174)</f>
        <v/>
      </c>
      <c r="N498" t="str">
        <f>IF('63'!$E$66="","",'63'!$E$66)</f>
        <v/>
      </c>
    </row>
    <row r="499" spans="1:14" hidden="1" x14ac:dyDescent="0.3">
      <c r="A499" t="s">
        <v>216</v>
      </c>
      <c r="B499" s="20" t="s">
        <v>1</v>
      </c>
      <c r="C499" s="11" t="s">
        <v>244</v>
      </c>
      <c r="E499" s="4" t="str">
        <f>IF(C499='63'!$B$67,"TRUE","")</f>
        <v/>
      </c>
      <c r="F499" s="17">
        <v>6</v>
      </c>
      <c r="G499" s="17">
        <v>1</v>
      </c>
      <c r="H499" s="21" t="s">
        <v>18</v>
      </c>
      <c r="J499" s="17">
        <v>63</v>
      </c>
      <c r="K499" s="17">
        <v>18</v>
      </c>
      <c r="L499" t="str">
        <f>IF('63'!$A$174="","",'63'!$A$174)</f>
        <v/>
      </c>
      <c r="M499" t="str">
        <f>IF('63'!$D$174="","",'63'!$D$174)</f>
        <v/>
      </c>
      <c r="N499" t="str">
        <f>IF('63'!$E$66="","",'63'!$E$66)</f>
        <v/>
      </c>
    </row>
    <row r="500" spans="1:14" hidden="1" x14ac:dyDescent="0.3">
      <c r="A500" t="s">
        <v>216</v>
      </c>
      <c r="B500" s="20" t="s">
        <v>1</v>
      </c>
      <c r="C500" s="11" t="s">
        <v>245</v>
      </c>
      <c r="E500" s="4" t="str">
        <f>IF(C500='63'!$B$67,"TRUE","")</f>
        <v/>
      </c>
      <c r="F500" s="17">
        <v>6</v>
      </c>
      <c r="G500" s="17">
        <v>1</v>
      </c>
      <c r="H500" s="21" t="s">
        <v>18</v>
      </c>
      <c r="J500" s="17">
        <v>63</v>
      </c>
      <c r="K500" s="17">
        <v>18</v>
      </c>
      <c r="L500" t="str">
        <f>IF('63'!$A$174="","",'63'!$A$174)</f>
        <v/>
      </c>
      <c r="M500" t="str">
        <f>IF('63'!$D$174="","",'63'!$D$174)</f>
        <v/>
      </c>
      <c r="N500" t="str">
        <f>IF('63'!$E$66="","",'63'!$E$66)</f>
        <v/>
      </c>
    </row>
    <row r="501" spans="1:14" hidden="1" x14ac:dyDescent="0.3">
      <c r="A501" t="s">
        <v>217</v>
      </c>
      <c r="B501" s="20" t="s">
        <v>375</v>
      </c>
      <c r="D501">
        <v>-2</v>
      </c>
      <c r="E501" s="4" t="str">
        <f>IF(B501='63'!$B$69,"TRUE","")</f>
        <v/>
      </c>
      <c r="F501" s="17">
        <v>6</v>
      </c>
      <c r="G501" s="17">
        <v>2</v>
      </c>
      <c r="H501" s="21" t="s">
        <v>18</v>
      </c>
      <c r="J501" s="17">
        <v>63</v>
      </c>
      <c r="K501" s="17">
        <v>18</v>
      </c>
      <c r="L501" t="str">
        <f>IF('63'!$A$174="","",'63'!$A$174)</f>
        <v/>
      </c>
      <c r="M501" t="str">
        <f>IF('63'!$D$174="","",'63'!$D$174)</f>
        <v/>
      </c>
      <c r="N501" t="str">
        <f>IF('63'!$E$69="","",'63'!$E$69)</f>
        <v/>
      </c>
    </row>
    <row r="502" spans="1:14" hidden="1" x14ac:dyDescent="0.3">
      <c r="A502" t="s">
        <v>217</v>
      </c>
      <c r="B502" s="20" t="s">
        <v>1</v>
      </c>
      <c r="C502" s="11" t="s">
        <v>246</v>
      </c>
      <c r="E502" s="4" t="str">
        <f>IF(C502='63'!$B$70,"TRUE","")</f>
        <v/>
      </c>
      <c r="F502" s="17">
        <v>6</v>
      </c>
      <c r="G502" s="17">
        <v>2</v>
      </c>
      <c r="H502" s="21" t="s">
        <v>18</v>
      </c>
      <c r="J502" s="17">
        <v>63</v>
      </c>
      <c r="K502" s="17">
        <v>18</v>
      </c>
      <c r="L502" t="str">
        <f>IF('63'!$A$174="","",'63'!$A$174)</f>
        <v/>
      </c>
      <c r="M502" t="str">
        <f>IF('63'!$D$174="","",'63'!$D$174)</f>
        <v/>
      </c>
      <c r="N502" t="str">
        <f>IF('63'!$E$69="","",'63'!$E$69)</f>
        <v/>
      </c>
    </row>
    <row r="503" spans="1:14" hidden="1" x14ac:dyDescent="0.3">
      <c r="A503" t="s">
        <v>217</v>
      </c>
      <c r="B503" s="20" t="s">
        <v>1</v>
      </c>
      <c r="C503" s="11" t="s">
        <v>247</v>
      </c>
      <c r="E503" s="4" t="str">
        <f>IF(C503='63'!$B$70,"TRUE","")</f>
        <v/>
      </c>
      <c r="F503" s="17">
        <v>6</v>
      </c>
      <c r="G503" s="17">
        <v>2</v>
      </c>
      <c r="H503" s="21" t="s">
        <v>18</v>
      </c>
      <c r="J503" s="17">
        <v>63</v>
      </c>
      <c r="K503" s="17">
        <v>18</v>
      </c>
      <c r="L503" t="str">
        <f>IF('63'!$A$174="","",'63'!$A$174)</f>
        <v/>
      </c>
      <c r="M503" t="str">
        <f>IF('63'!$D$174="","",'63'!$D$174)</f>
        <v/>
      </c>
      <c r="N503" t="str">
        <f>IF('63'!$E$69="","",'63'!$E$69)</f>
        <v/>
      </c>
    </row>
    <row r="504" spans="1:14" hidden="1" x14ac:dyDescent="0.3">
      <c r="A504" t="s">
        <v>217</v>
      </c>
      <c r="B504" s="20" t="s">
        <v>1</v>
      </c>
      <c r="C504" s="12" t="s">
        <v>248</v>
      </c>
      <c r="E504" s="4" t="str">
        <f>IF(C504='63'!$B$70,"TRUE","")</f>
        <v/>
      </c>
      <c r="F504" s="17">
        <v>6</v>
      </c>
      <c r="G504" s="17">
        <v>2</v>
      </c>
      <c r="H504" s="21" t="s">
        <v>18</v>
      </c>
      <c r="J504" s="17">
        <v>63</v>
      </c>
      <c r="K504" s="17">
        <v>18</v>
      </c>
      <c r="L504" t="str">
        <f>IF('63'!$A$174="","",'63'!$A$174)</f>
        <v/>
      </c>
      <c r="M504" t="str">
        <f>IF('63'!$D$174="","",'63'!$D$174)</f>
        <v/>
      </c>
      <c r="N504" t="str">
        <f>IF('63'!$E$69="","",'63'!$E$69)</f>
        <v/>
      </c>
    </row>
    <row r="505" spans="1:14" hidden="1" x14ac:dyDescent="0.3">
      <c r="A505" t="s">
        <v>217</v>
      </c>
      <c r="B505" s="20" t="s">
        <v>1</v>
      </c>
      <c r="C505" s="12" t="s">
        <v>249</v>
      </c>
      <c r="E505" s="4" t="str">
        <f>IF(C505='63'!$B$70,"TRUE","")</f>
        <v/>
      </c>
      <c r="F505" s="17">
        <v>6</v>
      </c>
      <c r="G505" s="17">
        <v>2</v>
      </c>
      <c r="H505" s="21" t="s">
        <v>18</v>
      </c>
      <c r="J505" s="17">
        <v>63</v>
      </c>
      <c r="K505" s="17">
        <v>18</v>
      </c>
      <c r="L505" t="str">
        <f>IF('63'!$A$174="","",'63'!$A$174)</f>
        <v/>
      </c>
      <c r="M505" t="str">
        <f>IF('63'!$D$174="","",'63'!$D$174)</f>
        <v/>
      </c>
      <c r="N505" t="str">
        <f>IF('63'!$E$69="","",'63'!$E$69)</f>
        <v/>
      </c>
    </row>
    <row r="506" spans="1:14" hidden="1" x14ac:dyDescent="0.3">
      <c r="A506" t="s">
        <v>217</v>
      </c>
      <c r="B506" s="20" t="s">
        <v>1</v>
      </c>
      <c r="C506" s="12" t="s">
        <v>250</v>
      </c>
      <c r="E506" s="4" t="str">
        <f>IF(C506='63'!$B$70,"TRUE","")</f>
        <v/>
      </c>
      <c r="F506" s="17">
        <v>6</v>
      </c>
      <c r="G506" s="17">
        <v>2</v>
      </c>
      <c r="H506" s="21" t="s">
        <v>18</v>
      </c>
      <c r="J506" s="17">
        <v>63</v>
      </c>
      <c r="K506" s="17">
        <v>18</v>
      </c>
      <c r="L506" t="str">
        <f>IF('63'!$A$174="","",'63'!$A$174)</f>
        <v/>
      </c>
      <c r="M506" t="str">
        <f>IF('63'!$D$174="","",'63'!$D$174)</f>
        <v/>
      </c>
      <c r="N506" t="str">
        <f>IF('63'!$E$69="","",'63'!$E$69)</f>
        <v/>
      </c>
    </row>
    <row r="507" spans="1:14" ht="28.8" hidden="1" x14ac:dyDescent="0.3">
      <c r="A507" t="s">
        <v>217</v>
      </c>
      <c r="B507" s="20" t="s">
        <v>1</v>
      </c>
      <c r="C507" s="12" t="s">
        <v>251</v>
      </c>
      <c r="E507" s="4" t="str">
        <f>IF(C507='63'!$B$70,"TRUE","")</f>
        <v/>
      </c>
      <c r="F507" s="17">
        <v>6</v>
      </c>
      <c r="G507" s="17">
        <v>2</v>
      </c>
      <c r="H507" s="21" t="s">
        <v>18</v>
      </c>
      <c r="J507" s="17">
        <v>63</v>
      </c>
      <c r="K507" s="17">
        <v>18</v>
      </c>
      <c r="L507" t="str">
        <f>IF('63'!$A$174="","",'63'!$A$174)</f>
        <v/>
      </c>
      <c r="M507" t="str">
        <f>IF('63'!$D$174="","",'63'!$D$174)</f>
        <v/>
      </c>
      <c r="N507" t="str">
        <f>IF('63'!$E$69="","",'63'!$E$69)</f>
        <v/>
      </c>
    </row>
    <row r="508" spans="1:14" hidden="1" x14ac:dyDescent="0.3">
      <c r="A508" t="s">
        <v>215</v>
      </c>
      <c r="B508" s="20" t="s">
        <v>375</v>
      </c>
      <c r="D508">
        <v>-2</v>
      </c>
      <c r="E508" s="4" t="str">
        <f>IF(B508='63'!$B$73,"TRUE","")</f>
        <v/>
      </c>
      <c r="F508" s="17">
        <v>7</v>
      </c>
      <c r="G508" s="17">
        <v>0</v>
      </c>
      <c r="H508" s="21" t="s">
        <v>18</v>
      </c>
      <c r="J508" s="17">
        <v>63</v>
      </c>
      <c r="K508" s="17">
        <v>18</v>
      </c>
      <c r="L508" t="str">
        <f>IF('63'!$A$174="","",'63'!$A$174)</f>
        <v/>
      </c>
      <c r="M508" t="str">
        <f>IF('63'!$D$174="","",'63'!$D$174)</f>
        <v/>
      </c>
      <c r="N508" t="str">
        <f>IF('63'!$E$73="","",'63'!$E$73)</f>
        <v/>
      </c>
    </row>
    <row r="509" spans="1:14" hidden="1" x14ac:dyDescent="0.3">
      <c r="A509" t="s">
        <v>215</v>
      </c>
      <c r="B509" s="20" t="s">
        <v>1</v>
      </c>
      <c r="C509" s="11" t="s">
        <v>236</v>
      </c>
      <c r="E509" s="4" t="str">
        <f>IF(C509='63'!$B$74,"TRUE","")</f>
        <v/>
      </c>
      <c r="F509" s="17">
        <v>7</v>
      </c>
      <c r="G509" s="17">
        <v>0</v>
      </c>
      <c r="H509" s="21" t="s">
        <v>18</v>
      </c>
      <c r="J509" s="17">
        <v>63</v>
      </c>
      <c r="K509" s="17">
        <v>18</v>
      </c>
      <c r="L509" t="str">
        <f>IF('63'!$A$174="","",'63'!$A$174)</f>
        <v/>
      </c>
      <c r="M509" t="str">
        <f>IF('63'!$D$174="","",'63'!$D$174)</f>
        <v/>
      </c>
      <c r="N509" t="str">
        <f>IF('63'!$E$73="","",'63'!$E$73)</f>
        <v/>
      </c>
    </row>
    <row r="510" spans="1:14" hidden="1" x14ac:dyDescent="0.3">
      <c r="A510" t="s">
        <v>215</v>
      </c>
      <c r="B510" s="20" t="s">
        <v>1</v>
      </c>
      <c r="C510" s="11" t="s">
        <v>237</v>
      </c>
      <c r="E510" s="4" t="str">
        <f>IF(C510='63'!$B$74,"TRUE","")</f>
        <v/>
      </c>
      <c r="F510" s="17">
        <v>7</v>
      </c>
      <c r="G510" s="17">
        <v>0</v>
      </c>
      <c r="H510" s="21" t="s">
        <v>18</v>
      </c>
      <c r="J510" s="17">
        <v>63</v>
      </c>
      <c r="K510" s="17">
        <v>18</v>
      </c>
      <c r="L510" t="str">
        <f>IF('63'!$A$174="","",'63'!$A$174)</f>
        <v/>
      </c>
      <c r="M510" t="str">
        <f>IF('63'!$D$174="","",'63'!$D$174)</f>
        <v/>
      </c>
      <c r="N510" t="str">
        <f>IF('63'!$E$73="","",'63'!$E$73)</f>
        <v/>
      </c>
    </row>
    <row r="511" spans="1:14" hidden="1" x14ac:dyDescent="0.3">
      <c r="A511" t="s">
        <v>215</v>
      </c>
      <c r="B511" s="20" t="s">
        <v>1</v>
      </c>
      <c r="C511" s="11" t="s">
        <v>238</v>
      </c>
      <c r="E511" s="4" t="str">
        <f>IF(C511='63'!$B$74,"TRUE","")</f>
        <v/>
      </c>
      <c r="F511" s="17">
        <v>7</v>
      </c>
      <c r="G511" s="17">
        <v>0</v>
      </c>
      <c r="H511" s="21" t="s">
        <v>18</v>
      </c>
      <c r="J511" s="17">
        <v>63</v>
      </c>
      <c r="K511" s="17">
        <v>18</v>
      </c>
      <c r="L511" t="str">
        <f>IF('63'!$A$174="","",'63'!$A$174)</f>
        <v/>
      </c>
      <c r="M511" t="str">
        <f>IF('63'!$D$174="","",'63'!$D$174)</f>
        <v/>
      </c>
      <c r="N511" t="str">
        <f>IF('63'!$E$73="","",'63'!$E$73)</f>
        <v/>
      </c>
    </row>
    <row r="512" spans="1:14" hidden="1" x14ac:dyDescent="0.3">
      <c r="A512" t="s">
        <v>215</v>
      </c>
      <c r="B512" s="20" t="s">
        <v>1</v>
      </c>
      <c r="C512" s="11" t="s">
        <v>239</v>
      </c>
      <c r="E512" s="4" t="str">
        <f>IF(C512='63'!$B$74,"TRUE","")</f>
        <v/>
      </c>
      <c r="F512" s="17">
        <v>7</v>
      </c>
      <c r="G512" s="17">
        <v>0</v>
      </c>
      <c r="H512" s="21" t="s">
        <v>18</v>
      </c>
      <c r="J512" s="17">
        <v>63</v>
      </c>
      <c r="K512" s="17">
        <v>18</v>
      </c>
      <c r="L512" t="str">
        <f>IF('63'!$A$174="","",'63'!$A$174)</f>
        <v/>
      </c>
      <c r="M512" t="str">
        <f>IF('63'!$D$174="","",'63'!$D$174)</f>
        <v/>
      </c>
      <c r="N512" t="str">
        <f>IF('63'!$E$73="","",'63'!$E$73)</f>
        <v/>
      </c>
    </row>
    <row r="513" spans="1:14" ht="28.8" hidden="1" x14ac:dyDescent="0.3">
      <c r="A513" t="s">
        <v>215</v>
      </c>
      <c r="B513" s="20" t="s">
        <v>1</v>
      </c>
      <c r="C513" s="12" t="s">
        <v>240</v>
      </c>
      <c r="E513" s="4" t="str">
        <f>IF(C513='63'!$B$74,"TRUE","")</f>
        <v/>
      </c>
      <c r="F513" s="17">
        <v>7</v>
      </c>
      <c r="G513" s="17">
        <v>0</v>
      </c>
      <c r="H513" s="21" t="s">
        <v>18</v>
      </c>
      <c r="J513" s="17">
        <v>63</v>
      </c>
      <c r="K513" s="17">
        <v>18</v>
      </c>
      <c r="L513" t="str">
        <f>IF('63'!$A$174="","",'63'!$A$174)</f>
        <v/>
      </c>
      <c r="M513" t="str">
        <f>IF('63'!$D$174="","",'63'!$D$174)</f>
        <v/>
      </c>
      <c r="N513" t="str">
        <f>IF('63'!$E$73="","",'63'!$E$73)</f>
        <v/>
      </c>
    </row>
    <row r="514" spans="1:14" hidden="1" x14ac:dyDescent="0.3">
      <c r="A514" t="s">
        <v>216</v>
      </c>
      <c r="B514" s="20" t="s">
        <v>375</v>
      </c>
      <c r="D514">
        <v>-2</v>
      </c>
      <c r="E514" s="4" t="str">
        <f>IF(B514='63'!$B$76,"TRUE","")</f>
        <v/>
      </c>
      <c r="F514" s="17">
        <v>7</v>
      </c>
      <c r="G514" s="17">
        <v>1</v>
      </c>
      <c r="H514" s="21" t="s">
        <v>18</v>
      </c>
      <c r="J514" s="17">
        <v>63</v>
      </c>
      <c r="K514" s="17">
        <v>18</v>
      </c>
      <c r="L514" t="str">
        <f>IF('63'!$A$174="","",'63'!$A$174)</f>
        <v/>
      </c>
      <c r="M514" t="str">
        <f>IF('63'!$D$174="","",'63'!$D$174)</f>
        <v/>
      </c>
      <c r="N514" t="str">
        <f>IF('63'!$E$76="","",'63'!$E$76)</f>
        <v/>
      </c>
    </row>
    <row r="515" spans="1:14" hidden="1" x14ac:dyDescent="0.3">
      <c r="A515" t="s">
        <v>216</v>
      </c>
      <c r="B515" s="20" t="s">
        <v>1</v>
      </c>
      <c r="C515" s="11" t="s">
        <v>241</v>
      </c>
      <c r="E515" s="4" t="str">
        <f>IF(C515='63'!$B$77,"TRUE","")</f>
        <v/>
      </c>
      <c r="F515" s="17">
        <v>7</v>
      </c>
      <c r="G515" s="17">
        <v>1</v>
      </c>
      <c r="H515" s="21" t="s">
        <v>18</v>
      </c>
      <c r="J515" s="17">
        <v>63</v>
      </c>
      <c r="K515" s="17">
        <v>18</v>
      </c>
      <c r="L515" t="str">
        <f>IF('63'!$A$174="","",'63'!$A$174)</f>
        <v/>
      </c>
      <c r="M515" t="str">
        <f>IF('63'!$D$174="","",'63'!$D$174)</f>
        <v/>
      </c>
      <c r="N515" t="str">
        <f>IF('63'!$E$76="","",'63'!$E$76)</f>
        <v/>
      </c>
    </row>
    <row r="516" spans="1:14" ht="28.8" hidden="1" x14ac:dyDescent="0.3">
      <c r="A516" t="s">
        <v>216</v>
      </c>
      <c r="B516" s="20" t="s">
        <v>1</v>
      </c>
      <c r="C516" s="12" t="s">
        <v>242</v>
      </c>
      <c r="E516" s="4" t="str">
        <f>IF(C516='63'!$B$77,"TRUE","")</f>
        <v/>
      </c>
      <c r="F516" s="17">
        <v>7</v>
      </c>
      <c r="G516" s="17">
        <v>1</v>
      </c>
      <c r="H516" s="21" t="s">
        <v>18</v>
      </c>
      <c r="J516" s="17">
        <v>63</v>
      </c>
      <c r="K516" s="17">
        <v>18</v>
      </c>
      <c r="L516" t="str">
        <f>IF('63'!$A$174="","",'63'!$A$174)</f>
        <v/>
      </c>
      <c r="M516" t="str">
        <f>IF('63'!$D$174="","",'63'!$D$174)</f>
        <v/>
      </c>
      <c r="N516" t="str">
        <f>IF('63'!$E$76="","",'63'!$E$76)</f>
        <v/>
      </c>
    </row>
    <row r="517" spans="1:14" ht="28.8" hidden="1" x14ac:dyDescent="0.3">
      <c r="A517" t="s">
        <v>216</v>
      </c>
      <c r="B517" s="20" t="s">
        <v>1</v>
      </c>
      <c r="C517" s="12" t="s">
        <v>243</v>
      </c>
      <c r="E517" s="4" t="str">
        <f>IF(C517='63'!$B$77,"TRUE","")</f>
        <v/>
      </c>
      <c r="F517" s="17">
        <v>7</v>
      </c>
      <c r="G517" s="17">
        <v>1</v>
      </c>
      <c r="H517" s="21" t="s">
        <v>18</v>
      </c>
      <c r="J517" s="17">
        <v>63</v>
      </c>
      <c r="K517" s="17">
        <v>18</v>
      </c>
      <c r="L517" t="str">
        <f>IF('63'!$A$174="","",'63'!$A$174)</f>
        <v/>
      </c>
      <c r="M517" t="str">
        <f>IF('63'!$D$174="","",'63'!$D$174)</f>
        <v/>
      </c>
      <c r="N517" t="str">
        <f>IF('63'!$E$76="","",'63'!$E$76)</f>
        <v/>
      </c>
    </row>
    <row r="518" spans="1:14" hidden="1" x14ac:dyDescent="0.3">
      <c r="A518" t="s">
        <v>216</v>
      </c>
      <c r="B518" s="20" t="s">
        <v>1</v>
      </c>
      <c r="C518" s="11" t="s">
        <v>244</v>
      </c>
      <c r="E518" s="4" t="str">
        <f>IF(C518='63'!$B$77,"TRUE","")</f>
        <v/>
      </c>
      <c r="F518" s="17">
        <v>7</v>
      </c>
      <c r="G518" s="17">
        <v>1</v>
      </c>
      <c r="H518" s="21" t="s">
        <v>18</v>
      </c>
      <c r="J518" s="17">
        <v>63</v>
      </c>
      <c r="K518" s="17">
        <v>18</v>
      </c>
      <c r="L518" t="str">
        <f>IF('63'!$A$174="","",'63'!$A$174)</f>
        <v/>
      </c>
      <c r="M518" t="str">
        <f>IF('63'!$D$174="","",'63'!$D$174)</f>
        <v/>
      </c>
      <c r="N518" t="str">
        <f>IF('63'!$E$76="","",'63'!$E$76)</f>
        <v/>
      </c>
    </row>
    <row r="519" spans="1:14" hidden="1" x14ac:dyDescent="0.3">
      <c r="A519" t="s">
        <v>216</v>
      </c>
      <c r="B519" s="20" t="s">
        <v>1</v>
      </c>
      <c r="C519" s="11" t="s">
        <v>245</v>
      </c>
      <c r="E519" s="4" t="str">
        <f>IF(C519='63'!$B$77,"TRUE","")</f>
        <v/>
      </c>
      <c r="F519" s="17">
        <v>7</v>
      </c>
      <c r="G519" s="17">
        <v>1</v>
      </c>
      <c r="H519" s="21" t="s">
        <v>18</v>
      </c>
      <c r="J519" s="17">
        <v>63</v>
      </c>
      <c r="K519" s="17">
        <v>18</v>
      </c>
      <c r="L519" t="str">
        <f>IF('63'!$A$174="","",'63'!$A$174)</f>
        <v/>
      </c>
      <c r="M519" t="str">
        <f>IF('63'!$D$174="","",'63'!$D$174)</f>
        <v/>
      </c>
      <c r="N519" t="str">
        <f>IF('63'!$E$76="","",'63'!$E$76)</f>
        <v/>
      </c>
    </row>
    <row r="520" spans="1:14" hidden="1" x14ac:dyDescent="0.3">
      <c r="A520" t="s">
        <v>217</v>
      </c>
      <c r="B520" s="20" t="s">
        <v>375</v>
      </c>
      <c r="D520">
        <v>-2</v>
      </c>
      <c r="E520" s="4" t="str">
        <f>IF(B520='63'!$B$79,"TRUE","")</f>
        <v/>
      </c>
      <c r="F520" s="17">
        <v>7</v>
      </c>
      <c r="G520" s="17">
        <v>2</v>
      </c>
      <c r="H520" s="21" t="s">
        <v>18</v>
      </c>
      <c r="J520" s="17">
        <v>63</v>
      </c>
      <c r="K520" s="17">
        <v>18</v>
      </c>
      <c r="L520" t="str">
        <f>IF('63'!$A$174="","",'63'!$A$174)</f>
        <v/>
      </c>
      <c r="M520" t="str">
        <f>IF('63'!$D$174="","",'63'!$D$174)</f>
        <v/>
      </c>
      <c r="N520" t="str">
        <f>IF('63'!$E$79="","",'63'!$E$79)</f>
        <v/>
      </c>
    </row>
    <row r="521" spans="1:14" hidden="1" x14ac:dyDescent="0.3">
      <c r="A521" t="s">
        <v>217</v>
      </c>
      <c r="B521" s="20" t="s">
        <v>1</v>
      </c>
      <c r="C521" s="11" t="s">
        <v>246</v>
      </c>
      <c r="E521" s="4" t="str">
        <f>IF(C521='63'!$B$80,"TRUE","")</f>
        <v/>
      </c>
      <c r="F521" s="17">
        <v>7</v>
      </c>
      <c r="G521" s="17">
        <v>2</v>
      </c>
      <c r="H521" s="21" t="s">
        <v>18</v>
      </c>
      <c r="J521" s="17">
        <v>63</v>
      </c>
      <c r="K521" s="17">
        <v>18</v>
      </c>
      <c r="L521" t="str">
        <f>IF('63'!$A$174="","",'63'!$A$174)</f>
        <v/>
      </c>
      <c r="M521" t="str">
        <f>IF('63'!$D$174="","",'63'!$D$174)</f>
        <v/>
      </c>
      <c r="N521" t="str">
        <f>IF('63'!$E$79="","",'63'!$E$79)</f>
        <v/>
      </c>
    </row>
    <row r="522" spans="1:14" hidden="1" x14ac:dyDescent="0.3">
      <c r="A522" t="s">
        <v>217</v>
      </c>
      <c r="B522" s="20" t="s">
        <v>1</v>
      </c>
      <c r="C522" s="11" t="s">
        <v>247</v>
      </c>
      <c r="E522" s="4" t="str">
        <f>IF(C522='63'!$B$80,"TRUE","")</f>
        <v/>
      </c>
      <c r="F522" s="17">
        <v>7</v>
      </c>
      <c r="G522" s="17">
        <v>2</v>
      </c>
      <c r="H522" s="21" t="s">
        <v>18</v>
      </c>
      <c r="J522" s="17">
        <v>63</v>
      </c>
      <c r="K522" s="17">
        <v>18</v>
      </c>
      <c r="L522" t="str">
        <f>IF('63'!$A$174="","",'63'!$A$174)</f>
        <v/>
      </c>
      <c r="M522" t="str">
        <f>IF('63'!$D$174="","",'63'!$D$174)</f>
        <v/>
      </c>
      <c r="N522" t="str">
        <f>IF('63'!$E$79="","",'63'!$E$79)</f>
        <v/>
      </c>
    </row>
    <row r="523" spans="1:14" hidden="1" x14ac:dyDescent="0.3">
      <c r="A523" t="s">
        <v>217</v>
      </c>
      <c r="B523" s="20" t="s">
        <v>1</v>
      </c>
      <c r="C523" s="12" t="s">
        <v>248</v>
      </c>
      <c r="E523" s="4" t="str">
        <f>IF(C523='63'!$B$80,"TRUE","")</f>
        <v/>
      </c>
      <c r="F523" s="17">
        <v>7</v>
      </c>
      <c r="G523" s="17">
        <v>2</v>
      </c>
      <c r="H523" s="21" t="s">
        <v>18</v>
      </c>
      <c r="J523" s="17">
        <v>63</v>
      </c>
      <c r="K523" s="17">
        <v>18</v>
      </c>
      <c r="L523" t="str">
        <f>IF('63'!$A$174="","",'63'!$A$174)</f>
        <v/>
      </c>
      <c r="M523" t="str">
        <f>IF('63'!$D$174="","",'63'!$D$174)</f>
        <v/>
      </c>
      <c r="N523" t="str">
        <f>IF('63'!$E$79="","",'63'!$E$79)</f>
        <v/>
      </c>
    </row>
    <row r="524" spans="1:14" hidden="1" x14ac:dyDescent="0.3">
      <c r="A524" t="s">
        <v>217</v>
      </c>
      <c r="B524" s="20" t="s">
        <v>1</v>
      </c>
      <c r="C524" s="12" t="s">
        <v>249</v>
      </c>
      <c r="E524" s="4" t="str">
        <f>IF(C524='63'!$B$80,"TRUE","")</f>
        <v/>
      </c>
      <c r="F524" s="17">
        <v>7</v>
      </c>
      <c r="G524" s="17">
        <v>2</v>
      </c>
      <c r="H524" s="21" t="s">
        <v>18</v>
      </c>
      <c r="J524" s="17">
        <v>63</v>
      </c>
      <c r="K524" s="17">
        <v>18</v>
      </c>
      <c r="L524" t="str">
        <f>IF('63'!$A$174="","",'63'!$A$174)</f>
        <v/>
      </c>
      <c r="M524" t="str">
        <f>IF('63'!$D$174="","",'63'!$D$174)</f>
        <v/>
      </c>
      <c r="N524" t="str">
        <f>IF('63'!$E$79="","",'63'!$E$79)</f>
        <v/>
      </c>
    </row>
    <row r="525" spans="1:14" hidden="1" x14ac:dyDescent="0.3">
      <c r="A525" t="s">
        <v>217</v>
      </c>
      <c r="B525" s="20" t="s">
        <v>1</v>
      </c>
      <c r="C525" s="12" t="s">
        <v>250</v>
      </c>
      <c r="E525" s="4" t="str">
        <f>IF(C525='63'!$B$80,"TRUE","")</f>
        <v/>
      </c>
      <c r="F525" s="17">
        <v>7</v>
      </c>
      <c r="G525" s="17">
        <v>2</v>
      </c>
      <c r="H525" s="21" t="s">
        <v>18</v>
      </c>
      <c r="J525" s="17">
        <v>63</v>
      </c>
      <c r="K525" s="17">
        <v>18</v>
      </c>
      <c r="L525" t="str">
        <f>IF('63'!$A$174="","",'63'!$A$174)</f>
        <v/>
      </c>
      <c r="M525" t="str">
        <f>IF('63'!$D$174="","",'63'!$D$174)</f>
        <v/>
      </c>
      <c r="N525" t="str">
        <f>IF('63'!$E$79="","",'63'!$E$79)</f>
        <v/>
      </c>
    </row>
    <row r="526" spans="1:14" ht="28.8" hidden="1" x14ac:dyDescent="0.3">
      <c r="A526" t="s">
        <v>217</v>
      </c>
      <c r="B526" s="20" t="s">
        <v>1</v>
      </c>
      <c r="C526" s="12" t="s">
        <v>251</v>
      </c>
      <c r="E526" s="4" t="str">
        <f>IF(C526='63'!$B$80,"TRUE","")</f>
        <v/>
      </c>
      <c r="F526" s="17">
        <v>7</v>
      </c>
      <c r="G526" s="17">
        <v>2</v>
      </c>
      <c r="H526" s="21" t="s">
        <v>18</v>
      </c>
      <c r="J526" s="17">
        <v>63</v>
      </c>
      <c r="K526" s="17">
        <v>18</v>
      </c>
      <c r="L526" t="str">
        <f>IF('63'!$A$174="","",'63'!$A$174)</f>
        <v/>
      </c>
      <c r="M526" t="str">
        <f>IF('63'!$D$174="","",'63'!$D$174)</f>
        <v/>
      </c>
      <c r="N526" t="str">
        <f>IF('63'!$E$79="","",'63'!$E$79)</f>
        <v/>
      </c>
    </row>
    <row r="527" spans="1:14" hidden="1" x14ac:dyDescent="0.3">
      <c r="A527" t="s">
        <v>215</v>
      </c>
      <c r="B527" s="20" t="s">
        <v>375</v>
      </c>
      <c r="D527">
        <v>-2</v>
      </c>
      <c r="E527" s="4" t="str">
        <f>IF(B527='63'!$B$83,"TRUE","")</f>
        <v/>
      </c>
      <c r="F527" s="17">
        <v>8</v>
      </c>
      <c r="G527" s="17">
        <v>0</v>
      </c>
      <c r="H527" s="21" t="s">
        <v>18</v>
      </c>
      <c r="J527" s="17">
        <v>63</v>
      </c>
      <c r="K527" s="17">
        <v>18</v>
      </c>
      <c r="L527" t="str">
        <f>IF('63'!$A$174="","",'63'!$A$174)</f>
        <v/>
      </c>
      <c r="M527" t="str">
        <f>IF('63'!$D$174="","",'63'!$D$174)</f>
        <v/>
      </c>
      <c r="N527" t="str">
        <f>IF('63'!$E$83="","",'63'!$E$83)</f>
        <v/>
      </c>
    </row>
    <row r="528" spans="1:14" hidden="1" x14ac:dyDescent="0.3">
      <c r="A528" t="s">
        <v>215</v>
      </c>
      <c r="B528" s="20" t="s">
        <v>1</v>
      </c>
      <c r="C528" s="11" t="s">
        <v>236</v>
      </c>
      <c r="E528" s="4" t="str">
        <f>IF(C528='63'!$B$84,"TRUE","")</f>
        <v/>
      </c>
      <c r="F528" s="17">
        <v>8</v>
      </c>
      <c r="G528" s="17">
        <v>0</v>
      </c>
      <c r="H528" s="21" t="s">
        <v>18</v>
      </c>
      <c r="J528" s="17">
        <v>63</v>
      </c>
      <c r="K528" s="17">
        <v>18</v>
      </c>
      <c r="L528" t="str">
        <f>IF('63'!$A$174="","",'63'!$A$174)</f>
        <v/>
      </c>
      <c r="M528" t="str">
        <f>IF('63'!$D$174="","",'63'!$D$174)</f>
        <v/>
      </c>
      <c r="N528" t="str">
        <f>IF('63'!$E$83="","",'63'!$E$83)</f>
        <v/>
      </c>
    </row>
    <row r="529" spans="1:14" hidden="1" x14ac:dyDescent="0.3">
      <c r="A529" t="s">
        <v>215</v>
      </c>
      <c r="B529" s="20" t="s">
        <v>1</v>
      </c>
      <c r="C529" s="11" t="s">
        <v>237</v>
      </c>
      <c r="E529" s="4" t="str">
        <f>IF(C529='63'!$B$84,"TRUE","")</f>
        <v/>
      </c>
      <c r="F529" s="17">
        <v>8</v>
      </c>
      <c r="G529" s="17">
        <v>0</v>
      </c>
      <c r="H529" s="21" t="s">
        <v>18</v>
      </c>
      <c r="J529" s="17">
        <v>63</v>
      </c>
      <c r="K529" s="17">
        <v>18</v>
      </c>
      <c r="L529" t="str">
        <f>IF('63'!$A$174="","",'63'!$A$174)</f>
        <v/>
      </c>
      <c r="M529" t="str">
        <f>IF('63'!$D$174="","",'63'!$D$174)</f>
        <v/>
      </c>
      <c r="N529" t="str">
        <f>IF('63'!$E$83="","",'63'!$E$83)</f>
        <v/>
      </c>
    </row>
    <row r="530" spans="1:14" hidden="1" x14ac:dyDescent="0.3">
      <c r="A530" t="s">
        <v>215</v>
      </c>
      <c r="B530" s="20" t="s">
        <v>1</v>
      </c>
      <c r="C530" s="11" t="s">
        <v>238</v>
      </c>
      <c r="E530" s="4" t="str">
        <f>IF(C530='63'!$B$84,"TRUE","")</f>
        <v/>
      </c>
      <c r="F530" s="17">
        <v>8</v>
      </c>
      <c r="G530" s="17">
        <v>0</v>
      </c>
      <c r="H530" s="21" t="s">
        <v>18</v>
      </c>
      <c r="J530" s="17">
        <v>63</v>
      </c>
      <c r="K530" s="17">
        <v>18</v>
      </c>
      <c r="L530" t="str">
        <f>IF('63'!$A$174="","",'63'!$A$174)</f>
        <v/>
      </c>
      <c r="M530" t="str">
        <f>IF('63'!$D$174="","",'63'!$D$174)</f>
        <v/>
      </c>
      <c r="N530" t="str">
        <f>IF('63'!$E$83="","",'63'!$E$83)</f>
        <v/>
      </c>
    </row>
    <row r="531" spans="1:14" hidden="1" x14ac:dyDescent="0.3">
      <c r="A531" t="s">
        <v>215</v>
      </c>
      <c r="B531" s="20" t="s">
        <v>1</v>
      </c>
      <c r="C531" s="11" t="s">
        <v>239</v>
      </c>
      <c r="E531" s="4" t="str">
        <f>IF(C531='63'!$B$84,"TRUE","")</f>
        <v/>
      </c>
      <c r="F531" s="17">
        <v>8</v>
      </c>
      <c r="G531" s="17">
        <v>0</v>
      </c>
      <c r="H531" s="21" t="s">
        <v>18</v>
      </c>
      <c r="J531" s="17">
        <v>63</v>
      </c>
      <c r="K531" s="17">
        <v>18</v>
      </c>
      <c r="L531" t="str">
        <f>IF('63'!$A$174="","",'63'!$A$174)</f>
        <v/>
      </c>
      <c r="M531" t="str">
        <f>IF('63'!$D$174="","",'63'!$D$174)</f>
        <v/>
      </c>
      <c r="N531" t="str">
        <f>IF('63'!$E$83="","",'63'!$E$83)</f>
        <v/>
      </c>
    </row>
    <row r="532" spans="1:14" ht="28.8" hidden="1" x14ac:dyDescent="0.3">
      <c r="A532" t="s">
        <v>215</v>
      </c>
      <c r="B532" s="20" t="s">
        <v>1</v>
      </c>
      <c r="C532" s="12" t="s">
        <v>240</v>
      </c>
      <c r="E532" s="4" t="str">
        <f>IF(C532='63'!$B$84,"TRUE","")</f>
        <v/>
      </c>
      <c r="F532" s="17">
        <v>8</v>
      </c>
      <c r="G532" s="17">
        <v>0</v>
      </c>
      <c r="H532" s="21" t="s">
        <v>18</v>
      </c>
      <c r="J532" s="17">
        <v>63</v>
      </c>
      <c r="K532" s="17">
        <v>18</v>
      </c>
      <c r="L532" t="str">
        <f>IF('63'!$A$174="","",'63'!$A$174)</f>
        <v/>
      </c>
      <c r="M532" t="str">
        <f>IF('63'!$D$174="","",'63'!$D$174)</f>
        <v/>
      </c>
      <c r="N532" t="str">
        <f>IF('63'!$E$83="","",'63'!$E$83)</f>
        <v/>
      </c>
    </row>
    <row r="533" spans="1:14" hidden="1" x14ac:dyDescent="0.3">
      <c r="A533" t="s">
        <v>216</v>
      </c>
      <c r="B533" s="20" t="s">
        <v>375</v>
      </c>
      <c r="D533">
        <v>-2</v>
      </c>
      <c r="E533" s="4" t="str">
        <f>IF(B533='63'!$B$86,"TRUE","")</f>
        <v/>
      </c>
      <c r="F533" s="17">
        <v>8</v>
      </c>
      <c r="G533" s="17">
        <v>1</v>
      </c>
      <c r="H533" s="21" t="s">
        <v>18</v>
      </c>
      <c r="J533" s="17">
        <v>63</v>
      </c>
      <c r="K533" s="17">
        <v>18</v>
      </c>
      <c r="L533" t="str">
        <f>IF('63'!$A$174="","",'63'!$A$174)</f>
        <v/>
      </c>
      <c r="M533" t="str">
        <f>IF('63'!$D$174="","",'63'!$D$174)</f>
        <v/>
      </c>
      <c r="N533" t="str">
        <f>IF('63'!$E$86="","",'63'!$E$86)</f>
        <v/>
      </c>
    </row>
    <row r="534" spans="1:14" hidden="1" x14ac:dyDescent="0.3">
      <c r="A534" t="s">
        <v>216</v>
      </c>
      <c r="B534" s="20" t="s">
        <v>1</v>
      </c>
      <c r="C534" s="11" t="s">
        <v>241</v>
      </c>
      <c r="E534" s="4" t="str">
        <f>IF(C534='63'!$B$87,"TRUE","")</f>
        <v/>
      </c>
      <c r="F534" s="17">
        <v>8</v>
      </c>
      <c r="G534" s="17">
        <v>1</v>
      </c>
      <c r="H534" s="21" t="s">
        <v>18</v>
      </c>
      <c r="J534" s="17">
        <v>63</v>
      </c>
      <c r="K534" s="17">
        <v>18</v>
      </c>
      <c r="L534" t="str">
        <f>IF('63'!$A$174="","",'63'!$A$174)</f>
        <v/>
      </c>
      <c r="M534" t="str">
        <f>IF('63'!$D$174="","",'63'!$D$174)</f>
        <v/>
      </c>
      <c r="N534" t="str">
        <f>IF('63'!$E$86="","",'63'!$E$86)</f>
        <v/>
      </c>
    </row>
    <row r="535" spans="1:14" ht="28.8" hidden="1" x14ac:dyDescent="0.3">
      <c r="A535" t="s">
        <v>216</v>
      </c>
      <c r="B535" s="20" t="s">
        <v>1</v>
      </c>
      <c r="C535" s="12" t="s">
        <v>242</v>
      </c>
      <c r="E535" s="4" t="str">
        <f>IF(C535='63'!$B$87,"TRUE","")</f>
        <v/>
      </c>
      <c r="F535" s="17">
        <v>8</v>
      </c>
      <c r="G535" s="17">
        <v>1</v>
      </c>
      <c r="H535" s="21" t="s">
        <v>18</v>
      </c>
      <c r="J535" s="17">
        <v>63</v>
      </c>
      <c r="K535" s="17">
        <v>18</v>
      </c>
      <c r="L535" t="str">
        <f>IF('63'!$A$174="","",'63'!$A$174)</f>
        <v/>
      </c>
      <c r="M535" t="str">
        <f>IF('63'!$D$174="","",'63'!$D$174)</f>
        <v/>
      </c>
      <c r="N535" t="str">
        <f>IF('63'!$E$86="","",'63'!$E$86)</f>
        <v/>
      </c>
    </row>
    <row r="536" spans="1:14" ht="28.8" hidden="1" x14ac:dyDescent="0.3">
      <c r="A536" t="s">
        <v>216</v>
      </c>
      <c r="B536" s="20" t="s">
        <v>1</v>
      </c>
      <c r="C536" s="12" t="s">
        <v>243</v>
      </c>
      <c r="E536" s="4" t="str">
        <f>IF(C536='63'!$B$87,"TRUE","")</f>
        <v/>
      </c>
      <c r="F536" s="17">
        <v>8</v>
      </c>
      <c r="G536" s="17">
        <v>1</v>
      </c>
      <c r="H536" s="21" t="s">
        <v>18</v>
      </c>
      <c r="J536" s="17">
        <v>63</v>
      </c>
      <c r="K536" s="17">
        <v>18</v>
      </c>
      <c r="L536" t="str">
        <f>IF('63'!$A$174="","",'63'!$A$174)</f>
        <v/>
      </c>
      <c r="M536" t="str">
        <f>IF('63'!$D$174="","",'63'!$D$174)</f>
        <v/>
      </c>
      <c r="N536" t="str">
        <f>IF('63'!$E$86="","",'63'!$E$86)</f>
        <v/>
      </c>
    </row>
    <row r="537" spans="1:14" hidden="1" x14ac:dyDescent="0.3">
      <c r="A537" t="s">
        <v>216</v>
      </c>
      <c r="B537" s="20" t="s">
        <v>1</v>
      </c>
      <c r="C537" s="11" t="s">
        <v>244</v>
      </c>
      <c r="E537" s="4" t="str">
        <f>IF(C537='63'!$B$87,"TRUE","")</f>
        <v/>
      </c>
      <c r="F537" s="17">
        <v>8</v>
      </c>
      <c r="G537" s="17">
        <v>1</v>
      </c>
      <c r="H537" s="21" t="s">
        <v>18</v>
      </c>
      <c r="J537" s="17">
        <v>63</v>
      </c>
      <c r="K537" s="17">
        <v>18</v>
      </c>
      <c r="L537" t="str">
        <f>IF('63'!$A$174="","",'63'!$A$174)</f>
        <v/>
      </c>
      <c r="M537" t="str">
        <f>IF('63'!$D$174="","",'63'!$D$174)</f>
        <v/>
      </c>
      <c r="N537" t="str">
        <f>IF('63'!$E$86="","",'63'!$E$86)</f>
        <v/>
      </c>
    </row>
    <row r="538" spans="1:14" hidden="1" x14ac:dyDescent="0.3">
      <c r="A538" t="s">
        <v>216</v>
      </c>
      <c r="B538" s="20" t="s">
        <v>1</v>
      </c>
      <c r="C538" s="11" t="s">
        <v>245</v>
      </c>
      <c r="E538" s="4" t="str">
        <f>IF(C538='63'!$B$87,"TRUE","")</f>
        <v/>
      </c>
      <c r="F538" s="17">
        <v>8</v>
      </c>
      <c r="G538" s="17">
        <v>1</v>
      </c>
      <c r="H538" s="21" t="s">
        <v>18</v>
      </c>
      <c r="J538" s="17">
        <v>63</v>
      </c>
      <c r="K538" s="17">
        <v>18</v>
      </c>
      <c r="L538" t="str">
        <f>IF('63'!$A$174="","",'63'!$A$174)</f>
        <v/>
      </c>
      <c r="M538" t="str">
        <f>IF('63'!$D$174="","",'63'!$D$174)</f>
        <v/>
      </c>
      <c r="N538" t="str">
        <f>IF('63'!$E$86="","",'63'!$E$86)</f>
        <v/>
      </c>
    </row>
    <row r="539" spans="1:14" hidden="1" x14ac:dyDescent="0.3">
      <c r="A539" t="s">
        <v>217</v>
      </c>
      <c r="B539" s="20" t="s">
        <v>375</v>
      </c>
      <c r="D539">
        <v>-2</v>
      </c>
      <c r="E539" s="4" t="str">
        <f>IF(B539='63'!$B$89,"TRUE","")</f>
        <v/>
      </c>
      <c r="F539" s="17">
        <v>8</v>
      </c>
      <c r="G539" s="17">
        <v>2</v>
      </c>
      <c r="H539" s="21" t="s">
        <v>18</v>
      </c>
      <c r="J539" s="17">
        <v>63</v>
      </c>
      <c r="K539" s="17">
        <v>18</v>
      </c>
      <c r="L539" t="str">
        <f>IF('63'!$A$174="","",'63'!$A$174)</f>
        <v/>
      </c>
      <c r="M539" t="str">
        <f>IF('63'!$D$174="","",'63'!$D$174)</f>
        <v/>
      </c>
      <c r="N539" t="str">
        <f>IF('63'!$E$89="","",'63'!$E$89)</f>
        <v/>
      </c>
    </row>
    <row r="540" spans="1:14" hidden="1" x14ac:dyDescent="0.3">
      <c r="A540" t="s">
        <v>217</v>
      </c>
      <c r="B540" s="20" t="s">
        <v>1</v>
      </c>
      <c r="C540" s="11" t="s">
        <v>246</v>
      </c>
      <c r="E540" s="4" t="str">
        <f>IF(C540='63'!$B$90,"TRUE","")</f>
        <v/>
      </c>
      <c r="F540" s="17">
        <v>8</v>
      </c>
      <c r="G540" s="17">
        <v>2</v>
      </c>
      <c r="H540" s="21" t="s">
        <v>18</v>
      </c>
      <c r="J540" s="17">
        <v>63</v>
      </c>
      <c r="K540" s="17">
        <v>18</v>
      </c>
      <c r="L540" t="str">
        <f>IF('63'!$A$174="","",'63'!$A$174)</f>
        <v/>
      </c>
      <c r="M540" t="str">
        <f>IF('63'!$D$174="","",'63'!$D$174)</f>
        <v/>
      </c>
      <c r="N540" t="str">
        <f>IF('63'!$E$89="","",'63'!$E$89)</f>
        <v/>
      </c>
    </row>
    <row r="541" spans="1:14" hidden="1" x14ac:dyDescent="0.3">
      <c r="A541" t="s">
        <v>217</v>
      </c>
      <c r="B541" s="20" t="s">
        <v>1</v>
      </c>
      <c r="C541" s="11" t="s">
        <v>247</v>
      </c>
      <c r="E541" s="4" t="str">
        <f>IF(C541='63'!$B$90,"TRUE","")</f>
        <v/>
      </c>
      <c r="F541" s="17">
        <v>8</v>
      </c>
      <c r="G541" s="17">
        <v>2</v>
      </c>
      <c r="H541" s="21" t="s">
        <v>18</v>
      </c>
      <c r="J541" s="17">
        <v>63</v>
      </c>
      <c r="K541" s="17">
        <v>18</v>
      </c>
      <c r="L541" t="str">
        <f>IF('63'!$A$174="","",'63'!$A$174)</f>
        <v/>
      </c>
      <c r="M541" t="str">
        <f>IF('63'!$D$174="","",'63'!$D$174)</f>
        <v/>
      </c>
      <c r="N541" t="str">
        <f>IF('63'!$E$89="","",'63'!$E$89)</f>
        <v/>
      </c>
    </row>
    <row r="542" spans="1:14" hidden="1" x14ac:dyDescent="0.3">
      <c r="A542" t="s">
        <v>217</v>
      </c>
      <c r="B542" s="20" t="s">
        <v>1</v>
      </c>
      <c r="C542" s="12" t="s">
        <v>248</v>
      </c>
      <c r="E542" s="4" t="str">
        <f>IF(C542='63'!$B$90,"TRUE","")</f>
        <v/>
      </c>
      <c r="F542" s="17">
        <v>8</v>
      </c>
      <c r="G542" s="17">
        <v>2</v>
      </c>
      <c r="H542" s="21" t="s">
        <v>18</v>
      </c>
      <c r="J542" s="17">
        <v>63</v>
      </c>
      <c r="K542" s="17">
        <v>18</v>
      </c>
      <c r="L542" t="str">
        <f>IF('63'!$A$174="","",'63'!$A$174)</f>
        <v/>
      </c>
      <c r="M542" t="str">
        <f>IF('63'!$D$174="","",'63'!$D$174)</f>
        <v/>
      </c>
      <c r="N542" t="str">
        <f>IF('63'!$E$89="","",'63'!$E$89)</f>
        <v/>
      </c>
    </row>
    <row r="543" spans="1:14" hidden="1" x14ac:dyDescent="0.3">
      <c r="A543" t="s">
        <v>217</v>
      </c>
      <c r="B543" s="20" t="s">
        <v>1</v>
      </c>
      <c r="C543" s="12" t="s">
        <v>249</v>
      </c>
      <c r="E543" s="4" t="str">
        <f>IF(C543='63'!$B$90,"TRUE","")</f>
        <v/>
      </c>
      <c r="F543" s="17">
        <v>8</v>
      </c>
      <c r="G543" s="17">
        <v>2</v>
      </c>
      <c r="H543" s="21" t="s">
        <v>18</v>
      </c>
      <c r="J543" s="17">
        <v>63</v>
      </c>
      <c r="K543" s="17">
        <v>18</v>
      </c>
      <c r="L543" t="str">
        <f>IF('63'!$A$174="","",'63'!$A$174)</f>
        <v/>
      </c>
      <c r="M543" t="str">
        <f>IF('63'!$D$174="","",'63'!$D$174)</f>
        <v/>
      </c>
      <c r="N543" t="str">
        <f>IF('63'!$E$89="","",'63'!$E$89)</f>
        <v/>
      </c>
    </row>
    <row r="544" spans="1:14" hidden="1" x14ac:dyDescent="0.3">
      <c r="A544" t="s">
        <v>217</v>
      </c>
      <c r="B544" s="20" t="s">
        <v>1</v>
      </c>
      <c r="C544" s="12" t="s">
        <v>250</v>
      </c>
      <c r="E544" s="4" t="str">
        <f>IF(C544='63'!$B$90,"TRUE","")</f>
        <v/>
      </c>
      <c r="F544" s="17">
        <v>8</v>
      </c>
      <c r="G544" s="17">
        <v>2</v>
      </c>
      <c r="H544" s="21" t="s">
        <v>18</v>
      </c>
      <c r="J544" s="17">
        <v>63</v>
      </c>
      <c r="K544" s="17">
        <v>18</v>
      </c>
      <c r="L544" t="str">
        <f>IF('63'!$A$174="","",'63'!$A$174)</f>
        <v/>
      </c>
      <c r="M544" t="str">
        <f>IF('63'!$D$174="","",'63'!$D$174)</f>
        <v/>
      </c>
      <c r="N544" t="str">
        <f>IF('63'!$E$89="","",'63'!$E$89)</f>
        <v/>
      </c>
    </row>
    <row r="545" spans="1:14" ht="28.8" hidden="1" x14ac:dyDescent="0.3">
      <c r="A545" t="s">
        <v>217</v>
      </c>
      <c r="B545" s="20" t="s">
        <v>1</v>
      </c>
      <c r="C545" s="12" t="s">
        <v>251</v>
      </c>
      <c r="E545" s="4" t="str">
        <f>IF(C545='63'!$B$90,"TRUE","")</f>
        <v/>
      </c>
      <c r="F545" s="17">
        <v>8</v>
      </c>
      <c r="G545" s="17">
        <v>2</v>
      </c>
      <c r="H545" s="21" t="s">
        <v>18</v>
      </c>
      <c r="J545" s="17">
        <v>63</v>
      </c>
      <c r="K545" s="17">
        <v>18</v>
      </c>
      <c r="L545" t="str">
        <f>IF('63'!$A$174="","",'63'!$A$174)</f>
        <v/>
      </c>
      <c r="M545" t="str">
        <f>IF('63'!$D$174="","",'63'!$D$174)</f>
        <v/>
      </c>
      <c r="N545" t="str">
        <f>IF('63'!$E$89="","",'63'!$E$89)</f>
        <v/>
      </c>
    </row>
    <row r="546" spans="1:14" hidden="1" x14ac:dyDescent="0.3">
      <c r="A546" t="s">
        <v>215</v>
      </c>
      <c r="B546" s="20" t="s">
        <v>375</v>
      </c>
      <c r="D546">
        <v>-2</v>
      </c>
      <c r="E546" s="4" t="str">
        <f>IF(B546='63'!$B$93,"TRUE","")</f>
        <v/>
      </c>
      <c r="F546" s="17">
        <v>9</v>
      </c>
      <c r="G546" s="17">
        <v>0</v>
      </c>
      <c r="H546" s="21" t="s">
        <v>18</v>
      </c>
      <c r="J546" s="17">
        <v>63</v>
      </c>
      <c r="K546" s="17">
        <v>18</v>
      </c>
      <c r="L546" t="str">
        <f>IF('63'!$A$174="","",'63'!$A$174)</f>
        <v/>
      </c>
      <c r="M546" t="str">
        <f>IF('63'!$D$174="","",'63'!$D$174)</f>
        <v/>
      </c>
      <c r="N546" t="str">
        <f>IF('63'!$E$93="","",'63'!$E$93)</f>
        <v/>
      </c>
    </row>
    <row r="547" spans="1:14" hidden="1" x14ac:dyDescent="0.3">
      <c r="A547" t="s">
        <v>215</v>
      </c>
      <c r="B547" s="20" t="s">
        <v>1</v>
      </c>
      <c r="C547" s="11" t="s">
        <v>236</v>
      </c>
      <c r="E547" s="4" t="str">
        <f>IF(C547='63'!$B$94,"TRUE","")</f>
        <v/>
      </c>
      <c r="F547" s="17">
        <v>9</v>
      </c>
      <c r="G547" s="17">
        <v>0</v>
      </c>
      <c r="H547" s="21" t="s">
        <v>18</v>
      </c>
      <c r="J547" s="17">
        <v>63</v>
      </c>
      <c r="K547" s="17">
        <v>18</v>
      </c>
      <c r="L547" t="str">
        <f>IF('63'!$A$174="","",'63'!$A$174)</f>
        <v/>
      </c>
      <c r="M547" t="str">
        <f>IF('63'!$D$174="","",'63'!$D$174)</f>
        <v/>
      </c>
      <c r="N547" t="str">
        <f>IF('63'!$E$93="","",'63'!$E$93)</f>
        <v/>
      </c>
    </row>
    <row r="548" spans="1:14" hidden="1" x14ac:dyDescent="0.3">
      <c r="A548" t="s">
        <v>215</v>
      </c>
      <c r="B548" s="20" t="s">
        <v>1</v>
      </c>
      <c r="C548" s="11" t="s">
        <v>237</v>
      </c>
      <c r="E548" s="4" t="str">
        <f>IF(C548='63'!$B$94,"TRUE","")</f>
        <v/>
      </c>
      <c r="F548" s="17">
        <v>9</v>
      </c>
      <c r="G548" s="17">
        <v>0</v>
      </c>
      <c r="H548" s="21" t="s">
        <v>18</v>
      </c>
      <c r="J548" s="17">
        <v>63</v>
      </c>
      <c r="K548" s="17">
        <v>18</v>
      </c>
      <c r="L548" t="str">
        <f>IF('63'!$A$174="","",'63'!$A$174)</f>
        <v/>
      </c>
      <c r="M548" t="str">
        <f>IF('63'!$D$174="","",'63'!$D$174)</f>
        <v/>
      </c>
      <c r="N548" t="str">
        <f>IF('63'!$E$93="","",'63'!$E$93)</f>
        <v/>
      </c>
    </row>
    <row r="549" spans="1:14" hidden="1" x14ac:dyDescent="0.3">
      <c r="A549" t="s">
        <v>215</v>
      </c>
      <c r="B549" s="20" t="s">
        <v>1</v>
      </c>
      <c r="C549" s="11" t="s">
        <v>238</v>
      </c>
      <c r="E549" s="4" t="str">
        <f>IF(C549='63'!$B$94,"TRUE","")</f>
        <v/>
      </c>
      <c r="F549" s="17">
        <v>9</v>
      </c>
      <c r="G549" s="17">
        <v>0</v>
      </c>
      <c r="H549" s="21" t="s">
        <v>18</v>
      </c>
      <c r="J549" s="17">
        <v>63</v>
      </c>
      <c r="K549" s="17">
        <v>18</v>
      </c>
      <c r="L549" t="str">
        <f>IF('63'!$A$174="","",'63'!$A$174)</f>
        <v/>
      </c>
      <c r="M549" t="str">
        <f>IF('63'!$D$174="","",'63'!$D$174)</f>
        <v/>
      </c>
      <c r="N549" t="str">
        <f>IF('63'!$E$93="","",'63'!$E$93)</f>
        <v/>
      </c>
    </row>
    <row r="550" spans="1:14" hidden="1" x14ac:dyDescent="0.3">
      <c r="A550" t="s">
        <v>215</v>
      </c>
      <c r="B550" s="20" t="s">
        <v>1</v>
      </c>
      <c r="C550" s="11" t="s">
        <v>239</v>
      </c>
      <c r="E550" s="4" t="str">
        <f>IF(C550='63'!$B$94,"TRUE","")</f>
        <v/>
      </c>
      <c r="F550" s="17">
        <v>9</v>
      </c>
      <c r="G550" s="17">
        <v>0</v>
      </c>
      <c r="H550" s="21" t="s">
        <v>18</v>
      </c>
      <c r="J550" s="17">
        <v>63</v>
      </c>
      <c r="K550" s="17">
        <v>18</v>
      </c>
      <c r="L550" t="str">
        <f>IF('63'!$A$174="","",'63'!$A$174)</f>
        <v/>
      </c>
      <c r="M550" t="str">
        <f>IF('63'!$D$174="","",'63'!$D$174)</f>
        <v/>
      </c>
      <c r="N550" t="str">
        <f>IF('63'!$E$93="","",'63'!$E$93)</f>
        <v/>
      </c>
    </row>
    <row r="551" spans="1:14" ht="28.8" hidden="1" x14ac:dyDescent="0.3">
      <c r="A551" t="s">
        <v>215</v>
      </c>
      <c r="B551" s="20" t="s">
        <v>1</v>
      </c>
      <c r="C551" s="12" t="s">
        <v>240</v>
      </c>
      <c r="E551" s="4" t="str">
        <f>IF(C551='63'!$B$94,"TRUE","")</f>
        <v/>
      </c>
      <c r="F551" s="17">
        <v>9</v>
      </c>
      <c r="G551" s="17">
        <v>0</v>
      </c>
      <c r="H551" s="21" t="s">
        <v>18</v>
      </c>
      <c r="J551" s="17">
        <v>63</v>
      </c>
      <c r="K551" s="17">
        <v>18</v>
      </c>
      <c r="L551" t="str">
        <f>IF('63'!$A$174="","",'63'!$A$174)</f>
        <v/>
      </c>
      <c r="M551" t="str">
        <f>IF('63'!$D$174="","",'63'!$D$174)</f>
        <v/>
      </c>
      <c r="N551" t="str">
        <f>IF('63'!$E$93="","",'63'!$E$93)</f>
        <v/>
      </c>
    </row>
    <row r="552" spans="1:14" hidden="1" x14ac:dyDescent="0.3">
      <c r="A552" t="s">
        <v>216</v>
      </c>
      <c r="B552" s="20" t="s">
        <v>375</v>
      </c>
      <c r="D552">
        <v>-2</v>
      </c>
      <c r="E552" s="4" t="str">
        <f>IF(B552='63'!$B$96,"TRUE","")</f>
        <v/>
      </c>
      <c r="F552" s="17">
        <v>9</v>
      </c>
      <c r="G552" s="17">
        <v>1</v>
      </c>
      <c r="H552" s="21" t="s">
        <v>18</v>
      </c>
      <c r="J552" s="17">
        <v>63</v>
      </c>
      <c r="K552" s="17">
        <v>18</v>
      </c>
      <c r="L552" t="str">
        <f>IF('63'!$A$174="","",'63'!$A$174)</f>
        <v/>
      </c>
      <c r="M552" t="str">
        <f>IF('63'!$D$174="","",'63'!$D$174)</f>
        <v/>
      </c>
      <c r="N552" t="str">
        <f>IF('63'!$E$96="","",'63'!$E$96)</f>
        <v/>
      </c>
    </row>
    <row r="553" spans="1:14" hidden="1" x14ac:dyDescent="0.3">
      <c r="A553" t="s">
        <v>216</v>
      </c>
      <c r="B553" s="20" t="s">
        <v>1</v>
      </c>
      <c r="C553" s="11" t="s">
        <v>241</v>
      </c>
      <c r="E553" s="4" t="str">
        <f>IF(C553='63'!$B$97,"TRUE","")</f>
        <v/>
      </c>
      <c r="F553" s="17">
        <v>9</v>
      </c>
      <c r="G553" s="17">
        <v>1</v>
      </c>
      <c r="H553" s="21" t="s">
        <v>18</v>
      </c>
      <c r="J553" s="17">
        <v>63</v>
      </c>
      <c r="K553" s="17">
        <v>18</v>
      </c>
      <c r="L553" t="str">
        <f>IF('63'!$A$174="","",'63'!$A$174)</f>
        <v/>
      </c>
      <c r="M553" t="str">
        <f>IF('63'!$D$174="","",'63'!$D$174)</f>
        <v/>
      </c>
      <c r="N553" t="str">
        <f>IF('63'!$E$96="","",'63'!$E$96)</f>
        <v/>
      </c>
    </row>
    <row r="554" spans="1:14" ht="28.8" hidden="1" x14ac:dyDescent="0.3">
      <c r="A554" t="s">
        <v>216</v>
      </c>
      <c r="B554" s="20" t="s">
        <v>1</v>
      </c>
      <c r="C554" s="12" t="s">
        <v>242</v>
      </c>
      <c r="E554" s="4" t="str">
        <f>IF(C554='63'!$B$97,"TRUE","")</f>
        <v/>
      </c>
      <c r="F554" s="17">
        <v>9</v>
      </c>
      <c r="G554" s="17">
        <v>1</v>
      </c>
      <c r="H554" s="21" t="s">
        <v>18</v>
      </c>
      <c r="J554" s="17">
        <v>63</v>
      </c>
      <c r="K554" s="17">
        <v>18</v>
      </c>
      <c r="L554" t="str">
        <f>IF('63'!$A$174="","",'63'!$A$174)</f>
        <v/>
      </c>
      <c r="M554" t="str">
        <f>IF('63'!$D$174="","",'63'!$D$174)</f>
        <v/>
      </c>
      <c r="N554" t="str">
        <f>IF('63'!$E$96="","",'63'!$E$96)</f>
        <v/>
      </c>
    </row>
    <row r="555" spans="1:14" ht="28.8" hidden="1" x14ac:dyDescent="0.3">
      <c r="A555" t="s">
        <v>216</v>
      </c>
      <c r="B555" s="20" t="s">
        <v>1</v>
      </c>
      <c r="C555" s="12" t="s">
        <v>243</v>
      </c>
      <c r="E555" s="4" t="str">
        <f>IF(C555='63'!$B$97,"TRUE","")</f>
        <v/>
      </c>
      <c r="F555" s="17">
        <v>9</v>
      </c>
      <c r="G555" s="17">
        <v>1</v>
      </c>
      <c r="H555" s="21" t="s">
        <v>18</v>
      </c>
      <c r="J555" s="17">
        <v>63</v>
      </c>
      <c r="K555" s="17">
        <v>18</v>
      </c>
      <c r="L555" t="str">
        <f>IF('63'!$A$174="","",'63'!$A$174)</f>
        <v/>
      </c>
      <c r="M555" t="str">
        <f>IF('63'!$D$174="","",'63'!$D$174)</f>
        <v/>
      </c>
      <c r="N555" t="str">
        <f>IF('63'!$E$96="","",'63'!$E$96)</f>
        <v/>
      </c>
    </row>
    <row r="556" spans="1:14" hidden="1" x14ac:dyDescent="0.3">
      <c r="A556" t="s">
        <v>216</v>
      </c>
      <c r="B556" s="20" t="s">
        <v>1</v>
      </c>
      <c r="C556" s="11" t="s">
        <v>244</v>
      </c>
      <c r="E556" s="4" t="str">
        <f>IF(C556='63'!$B$97,"TRUE","")</f>
        <v/>
      </c>
      <c r="F556" s="17">
        <v>9</v>
      </c>
      <c r="G556" s="17">
        <v>1</v>
      </c>
      <c r="H556" s="21" t="s">
        <v>18</v>
      </c>
      <c r="J556" s="17">
        <v>63</v>
      </c>
      <c r="K556" s="17">
        <v>18</v>
      </c>
      <c r="L556" t="str">
        <f>IF('63'!$A$174="","",'63'!$A$174)</f>
        <v/>
      </c>
      <c r="M556" t="str">
        <f>IF('63'!$D$174="","",'63'!$D$174)</f>
        <v/>
      </c>
      <c r="N556" t="str">
        <f>IF('63'!$E$96="","",'63'!$E$96)</f>
        <v/>
      </c>
    </row>
    <row r="557" spans="1:14" hidden="1" x14ac:dyDescent="0.3">
      <c r="A557" t="s">
        <v>216</v>
      </c>
      <c r="B557" s="20" t="s">
        <v>1</v>
      </c>
      <c r="C557" s="11" t="s">
        <v>245</v>
      </c>
      <c r="E557" s="4" t="str">
        <f>IF(C557='63'!$B$97,"TRUE","")</f>
        <v/>
      </c>
      <c r="F557" s="17">
        <v>9</v>
      </c>
      <c r="G557" s="17">
        <v>1</v>
      </c>
      <c r="H557" s="21" t="s">
        <v>18</v>
      </c>
      <c r="J557" s="17">
        <v>63</v>
      </c>
      <c r="K557" s="17">
        <v>18</v>
      </c>
      <c r="L557" t="str">
        <f>IF('63'!$A$174="","",'63'!$A$174)</f>
        <v/>
      </c>
      <c r="M557" t="str">
        <f>IF('63'!$D$174="","",'63'!$D$174)</f>
        <v/>
      </c>
      <c r="N557" t="str">
        <f>IF('63'!$E$96="","",'63'!$E$96)</f>
        <v/>
      </c>
    </row>
    <row r="558" spans="1:14" hidden="1" x14ac:dyDescent="0.3">
      <c r="A558" t="s">
        <v>217</v>
      </c>
      <c r="B558" s="20" t="s">
        <v>375</v>
      </c>
      <c r="D558">
        <v>-2</v>
      </c>
      <c r="E558" s="4" t="str">
        <f>IF(B558='63'!$B$99,"TRUE","")</f>
        <v/>
      </c>
      <c r="F558" s="17">
        <v>9</v>
      </c>
      <c r="G558" s="17">
        <v>2</v>
      </c>
      <c r="H558" s="21" t="s">
        <v>18</v>
      </c>
      <c r="J558" s="17">
        <v>63</v>
      </c>
      <c r="K558" s="17">
        <v>18</v>
      </c>
      <c r="L558" t="str">
        <f>IF('63'!$A$174="","",'63'!$A$174)</f>
        <v/>
      </c>
      <c r="M558" t="str">
        <f>IF('63'!$D$174="","",'63'!$D$174)</f>
        <v/>
      </c>
      <c r="N558" t="str">
        <f>IF('63'!$E$99="","",'63'!$E$99)</f>
        <v/>
      </c>
    </row>
    <row r="559" spans="1:14" hidden="1" x14ac:dyDescent="0.3">
      <c r="A559" t="s">
        <v>217</v>
      </c>
      <c r="B559" s="20" t="s">
        <v>1</v>
      </c>
      <c r="C559" s="11" t="s">
        <v>246</v>
      </c>
      <c r="E559" s="4" t="str">
        <f>IF(C559='63'!$B$100,"TRUE","")</f>
        <v/>
      </c>
      <c r="F559" s="17">
        <v>9</v>
      </c>
      <c r="G559" s="17">
        <v>2</v>
      </c>
      <c r="H559" s="21" t="s">
        <v>18</v>
      </c>
      <c r="J559" s="17">
        <v>63</v>
      </c>
      <c r="K559" s="17">
        <v>18</v>
      </c>
      <c r="L559" t="str">
        <f>IF('63'!$A$174="","",'63'!$A$174)</f>
        <v/>
      </c>
      <c r="M559" t="str">
        <f>IF('63'!$D$174="","",'63'!$D$174)</f>
        <v/>
      </c>
      <c r="N559" t="str">
        <f>IF('63'!$E$99="","",'63'!$E$99)</f>
        <v/>
      </c>
    </row>
    <row r="560" spans="1:14" hidden="1" x14ac:dyDescent="0.3">
      <c r="A560" t="s">
        <v>217</v>
      </c>
      <c r="B560" s="20" t="s">
        <v>1</v>
      </c>
      <c r="C560" s="11" t="s">
        <v>247</v>
      </c>
      <c r="E560" s="4" t="str">
        <f>IF(C560='63'!$B$100,"TRUE","")</f>
        <v/>
      </c>
      <c r="F560" s="17">
        <v>9</v>
      </c>
      <c r="G560" s="17">
        <v>2</v>
      </c>
      <c r="H560" s="21" t="s">
        <v>18</v>
      </c>
      <c r="J560" s="17">
        <v>63</v>
      </c>
      <c r="K560" s="17">
        <v>18</v>
      </c>
      <c r="L560" t="str">
        <f>IF('63'!$A$174="","",'63'!$A$174)</f>
        <v/>
      </c>
      <c r="M560" t="str">
        <f>IF('63'!$D$174="","",'63'!$D$174)</f>
        <v/>
      </c>
      <c r="N560" t="str">
        <f>IF('63'!$E$99="","",'63'!$E$99)</f>
        <v/>
      </c>
    </row>
    <row r="561" spans="1:14" hidden="1" x14ac:dyDescent="0.3">
      <c r="A561" t="s">
        <v>217</v>
      </c>
      <c r="B561" s="20" t="s">
        <v>1</v>
      </c>
      <c r="C561" s="12" t="s">
        <v>248</v>
      </c>
      <c r="E561" s="4" t="str">
        <f>IF(C561='63'!$B$100,"TRUE","")</f>
        <v/>
      </c>
      <c r="F561" s="17">
        <v>9</v>
      </c>
      <c r="G561" s="17">
        <v>2</v>
      </c>
      <c r="H561" s="21" t="s">
        <v>18</v>
      </c>
      <c r="J561" s="17">
        <v>63</v>
      </c>
      <c r="K561" s="17">
        <v>18</v>
      </c>
      <c r="L561" t="str">
        <f>IF('63'!$A$174="","",'63'!$A$174)</f>
        <v/>
      </c>
      <c r="M561" t="str">
        <f>IF('63'!$D$174="","",'63'!$D$174)</f>
        <v/>
      </c>
      <c r="N561" t="str">
        <f>IF('63'!$E$99="","",'63'!$E$99)</f>
        <v/>
      </c>
    </row>
    <row r="562" spans="1:14" hidden="1" x14ac:dyDescent="0.3">
      <c r="A562" t="s">
        <v>217</v>
      </c>
      <c r="B562" s="20" t="s">
        <v>1</v>
      </c>
      <c r="C562" s="12" t="s">
        <v>249</v>
      </c>
      <c r="E562" s="4" t="str">
        <f>IF(C562='63'!$B$100,"TRUE","")</f>
        <v/>
      </c>
      <c r="F562" s="17">
        <v>9</v>
      </c>
      <c r="G562" s="17">
        <v>2</v>
      </c>
      <c r="H562" s="21" t="s">
        <v>18</v>
      </c>
      <c r="J562" s="17">
        <v>63</v>
      </c>
      <c r="K562" s="17">
        <v>18</v>
      </c>
      <c r="L562" t="str">
        <f>IF('63'!$A$174="","",'63'!$A$174)</f>
        <v/>
      </c>
      <c r="M562" t="str">
        <f>IF('63'!$D$174="","",'63'!$D$174)</f>
        <v/>
      </c>
      <c r="N562" t="str">
        <f>IF('63'!$E$99="","",'63'!$E$99)</f>
        <v/>
      </c>
    </row>
    <row r="563" spans="1:14" hidden="1" x14ac:dyDescent="0.3">
      <c r="A563" t="s">
        <v>217</v>
      </c>
      <c r="B563" s="20" t="s">
        <v>1</v>
      </c>
      <c r="C563" s="12" t="s">
        <v>250</v>
      </c>
      <c r="E563" s="4" t="str">
        <f>IF(C563='63'!$B$100,"TRUE","")</f>
        <v/>
      </c>
      <c r="F563" s="17">
        <v>9</v>
      </c>
      <c r="G563" s="17">
        <v>2</v>
      </c>
      <c r="H563" s="21" t="s">
        <v>18</v>
      </c>
      <c r="J563" s="17">
        <v>63</v>
      </c>
      <c r="K563" s="17">
        <v>18</v>
      </c>
      <c r="L563" t="str">
        <f>IF('63'!$A$174="","",'63'!$A$174)</f>
        <v/>
      </c>
      <c r="M563" t="str">
        <f>IF('63'!$D$174="","",'63'!$D$174)</f>
        <v/>
      </c>
      <c r="N563" t="str">
        <f>IF('63'!$E$99="","",'63'!$E$99)</f>
        <v/>
      </c>
    </row>
    <row r="564" spans="1:14" ht="28.8" hidden="1" x14ac:dyDescent="0.3">
      <c r="A564" t="s">
        <v>217</v>
      </c>
      <c r="B564" s="20" t="s">
        <v>1</v>
      </c>
      <c r="C564" s="12" t="s">
        <v>251</v>
      </c>
      <c r="E564" s="4" t="str">
        <f>IF(C564='63'!$B$100,"TRUE","")</f>
        <v/>
      </c>
      <c r="F564" s="17">
        <v>9</v>
      </c>
      <c r="G564" s="17">
        <v>2</v>
      </c>
      <c r="H564" s="21" t="s">
        <v>18</v>
      </c>
      <c r="J564" s="17">
        <v>63</v>
      </c>
      <c r="K564" s="17">
        <v>18</v>
      </c>
      <c r="L564" t="str">
        <f>IF('63'!$A$174="","",'63'!$A$174)</f>
        <v/>
      </c>
      <c r="M564" t="str">
        <f>IF('63'!$D$174="","",'63'!$D$174)</f>
        <v/>
      </c>
      <c r="N564" t="str">
        <f>IF('63'!$E$99="","",'63'!$E$99)</f>
        <v/>
      </c>
    </row>
    <row r="565" spans="1:14" hidden="1" x14ac:dyDescent="0.3">
      <c r="A565" t="s">
        <v>215</v>
      </c>
      <c r="B565" s="20" t="s">
        <v>375</v>
      </c>
      <c r="D565">
        <v>-2</v>
      </c>
      <c r="E565" s="4" t="str">
        <f>IF(B565='63'!$B$103,"TRUE","")</f>
        <v/>
      </c>
      <c r="F565" s="17">
        <v>10</v>
      </c>
      <c r="G565" s="17">
        <v>0</v>
      </c>
      <c r="H565" s="21" t="s">
        <v>18</v>
      </c>
      <c r="J565" s="17">
        <v>63</v>
      </c>
      <c r="K565" s="17">
        <v>18</v>
      </c>
      <c r="L565" t="str">
        <f>IF('63'!$A$174="","",'63'!$A$174)</f>
        <v/>
      </c>
      <c r="M565" t="str">
        <f>IF('63'!$D$174="","",'63'!$D$174)</f>
        <v/>
      </c>
      <c r="N565" t="str">
        <f>IF('63'!$E$103="","",'63'!$E$103)</f>
        <v/>
      </c>
    </row>
    <row r="566" spans="1:14" hidden="1" x14ac:dyDescent="0.3">
      <c r="A566" t="s">
        <v>215</v>
      </c>
      <c r="B566" s="20" t="s">
        <v>1</v>
      </c>
      <c r="C566" s="11" t="s">
        <v>236</v>
      </c>
      <c r="E566" s="4" t="str">
        <f>IF(C566='63'!$B$104,"TRUE","")</f>
        <v/>
      </c>
      <c r="F566" s="17">
        <v>10</v>
      </c>
      <c r="G566" s="17">
        <v>0</v>
      </c>
      <c r="H566" s="21" t="s">
        <v>18</v>
      </c>
      <c r="J566" s="17">
        <v>63</v>
      </c>
      <c r="K566" s="17">
        <v>18</v>
      </c>
      <c r="L566" t="str">
        <f>IF('63'!$A$174="","",'63'!$A$174)</f>
        <v/>
      </c>
      <c r="M566" t="str">
        <f>IF('63'!$D$174="","",'63'!$D$174)</f>
        <v/>
      </c>
      <c r="N566" t="str">
        <f>IF('63'!$E$103="","",'63'!$E$103)</f>
        <v/>
      </c>
    </row>
    <row r="567" spans="1:14" hidden="1" x14ac:dyDescent="0.3">
      <c r="A567" t="s">
        <v>215</v>
      </c>
      <c r="B567" s="20" t="s">
        <v>1</v>
      </c>
      <c r="C567" s="11" t="s">
        <v>237</v>
      </c>
      <c r="E567" s="4" t="str">
        <f>IF(C567='63'!$B$104,"TRUE","")</f>
        <v/>
      </c>
      <c r="F567" s="17">
        <v>10</v>
      </c>
      <c r="G567" s="17">
        <v>0</v>
      </c>
      <c r="H567" s="21" t="s">
        <v>18</v>
      </c>
      <c r="J567" s="17">
        <v>63</v>
      </c>
      <c r="K567" s="17">
        <v>18</v>
      </c>
      <c r="L567" t="str">
        <f>IF('63'!$A$174="","",'63'!$A$174)</f>
        <v/>
      </c>
      <c r="M567" t="str">
        <f>IF('63'!$D$174="","",'63'!$D$174)</f>
        <v/>
      </c>
      <c r="N567" t="str">
        <f>IF('63'!$E$103="","",'63'!$E$103)</f>
        <v/>
      </c>
    </row>
    <row r="568" spans="1:14" hidden="1" x14ac:dyDescent="0.3">
      <c r="A568" t="s">
        <v>215</v>
      </c>
      <c r="B568" s="20" t="s">
        <v>1</v>
      </c>
      <c r="C568" s="11" t="s">
        <v>238</v>
      </c>
      <c r="E568" s="4" t="str">
        <f>IF(C568='63'!$B$104,"TRUE","")</f>
        <v/>
      </c>
      <c r="F568" s="17">
        <v>10</v>
      </c>
      <c r="G568" s="17">
        <v>0</v>
      </c>
      <c r="H568" s="21" t="s">
        <v>18</v>
      </c>
      <c r="J568" s="17">
        <v>63</v>
      </c>
      <c r="K568" s="17">
        <v>18</v>
      </c>
      <c r="L568" t="str">
        <f>IF('63'!$A$174="","",'63'!$A$174)</f>
        <v/>
      </c>
      <c r="M568" t="str">
        <f>IF('63'!$D$174="","",'63'!$D$174)</f>
        <v/>
      </c>
      <c r="N568" t="str">
        <f>IF('63'!$E$103="","",'63'!$E$103)</f>
        <v/>
      </c>
    </row>
    <row r="569" spans="1:14" hidden="1" x14ac:dyDescent="0.3">
      <c r="A569" t="s">
        <v>215</v>
      </c>
      <c r="B569" s="20" t="s">
        <v>1</v>
      </c>
      <c r="C569" s="11" t="s">
        <v>239</v>
      </c>
      <c r="E569" s="4" t="str">
        <f>IF(C569='63'!$B$104,"TRUE","")</f>
        <v/>
      </c>
      <c r="F569" s="17">
        <v>10</v>
      </c>
      <c r="G569" s="17">
        <v>0</v>
      </c>
      <c r="H569" s="21" t="s">
        <v>18</v>
      </c>
      <c r="J569" s="17">
        <v>63</v>
      </c>
      <c r="K569" s="17">
        <v>18</v>
      </c>
      <c r="L569" t="str">
        <f>IF('63'!$A$174="","",'63'!$A$174)</f>
        <v/>
      </c>
      <c r="M569" t="str">
        <f>IF('63'!$D$174="","",'63'!$D$174)</f>
        <v/>
      </c>
      <c r="N569" t="str">
        <f>IF('63'!$E$103="","",'63'!$E$103)</f>
        <v/>
      </c>
    </row>
    <row r="570" spans="1:14" ht="28.8" hidden="1" x14ac:dyDescent="0.3">
      <c r="A570" t="s">
        <v>215</v>
      </c>
      <c r="B570" s="20" t="s">
        <v>1</v>
      </c>
      <c r="C570" s="12" t="s">
        <v>240</v>
      </c>
      <c r="E570" s="4" t="str">
        <f>IF(C570='63'!$B$104,"TRUE","")</f>
        <v/>
      </c>
      <c r="F570" s="17">
        <v>10</v>
      </c>
      <c r="G570" s="17">
        <v>0</v>
      </c>
      <c r="H570" s="21" t="s">
        <v>18</v>
      </c>
      <c r="J570" s="17">
        <v>63</v>
      </c>
      <c r="K570" s="17">
        <v>18</v>
      </c>
      <c r="L570" t="str">
        <f>IF('63'!$A$174="","",'63'!$A$174)</f>
        <v/>
      </c>
      <c r="M570" t="str">
        <f>IF('63'!$D$174="","",'63'!$D$174)</f>
        <v/>
      </c>
      <c r="N570" t="str">
        <f>IF('63'!$E$103="","",'63'!$E$103)</f>
        <v/>
      </c>
    </row>
    <row r="571" spans="1:14" hidden="1" x14ac:dyDescent="0.3">
      <c r="A571" t="s">
        <v>216</v>
      </c>
      <c r="B571" s="20" t="s">
        <v>375</v>
      </c>
      <c r="D571">
        <v>-2</v>
      </c>
      <c r="E571" s="4" t="str">
        <f>IF(B571='63'!$B$106,"TRUE","")</f>
        <v/>
      </c>
      <c r="F571" s="17">
        <v>10</v>
      </c>
      <c r="G571" s="17">
        <v>1</v>
      </c>
      <c r="H571" s="21" t="s">
        <v>18</v>
      </c>
      <c r="J571" s="17">
        <v>63</v>
      </c>
      <c r="K571" s="17">
        <v>18</v>
      </c>
      <c r="L571" t="str">
        <f>IF('63'!$A$174="","",'63'!$A$174)</f>
        <v/>
      </c>
      <c r="M571" t="str">
        <f>IF('63'!$D$174="","",'63'!$D$174)</f>
        <v/>
      </c>
      <c r="N571" t="str">
        <f>IF('63'!$E$106="","",'63'!$E$106)</f>
        <v/>
      </c>
    </row>
    <row r="572" spans="1:14" hidden="1" x14ac:dyDescent="0.3">
      <c r="A572" t="s">
        <v>216</v>
      </c>
      <c r="B572" s="20" t="s">
        <v>1</v>
      </c>
      <c r="C572" s="11" t="s">
        <v>241</v>
      </c>
      <c r="E572" s="4" t="str">
        <f>IF(C572='63'!$B$107,"TRUE","")</f>
        <v/>
      </c>
      <c r="F572" s="17">
        <v>10</v>
      </c>
      <c r="G572" s="17">
        <v>1</v>
      </c>
      <c r="H572" s="21" t="s">
        <v>18</v>
      </c>
      <c r="J572" s="17">
        <v>63</v>
      </c>
      <c r="K572" s="17">
        <v>18</v>
      </c>
      <c r="L572" t="str">
        <f>IF('63'!$A$174="","",'63'!$A$174)</f>
        <v/>
      </c>
      <c r="M572" t="str">
        <f>IF('63'!$D$174="","",'63'!$D$174)</f>
        <v/>
      </c>
      <c r="N572" t="str">
        <f>IF('63'!$E$106="","",'63'!$E$106)</f>
        <v/>
      </c>
    </row>
    <row r="573" spans="1:14" ht="28.8" hidden="1" x14ac:dyDescent="0.3">
      <c r="A573" t="s">
        <v>216</v>
      </c>
      <c r="B573" s="20" t="s">
        <v>1</v>
      </c>
      <c r="C573" s="12" t="s">
        <v>242</v>
      </c>
      <c r="E573" s="4" t="str">
        <f>IF(C573='63'!$B$107,"TRUE","")</f>
        <v/>
      </c>
      <c r="F573" s="17">
        <v>10</v>
      </c>
      <c r="G573" s="17">
        <v>1</v>
      </c>
      <c r="H573" s="21" t="s">
        <v>18</v>
      </c>
      <c r="J573" s="17">
        <v>63</v>
      </c>
      <c r="K573" s="17">
        <v>18</v>
      </c>
      <c r="L573" t="str">
        <f>IF('63'!$A$174="","",'63'!$A$174)</f>
        <v/>
      </c>
      <c r="M573" t="str">
        <f>IF('63'!$D$174="","",'63'!$D$174)</f>
        <v/>
      </c>
      <c r="N573" t="str">
        <f>IF('63'!$E$106="","",'63'!$E$106)</f>
        <v/>
      </c>
    </row>
    <row r="574" spans="1:14" ht="28.8" hidden="1" x14ac:dyDescent="0.3">
      <c r="A574" t="s">
        <v>216</v>
      </c>
      <c r="B574" s="20" t="s">
        <v>1</v>
      </c>
      <c r="C574" s="12" t="s">
        <v>243</v>
      </c>
      <c r="E574" s="4" t="str">
        <f>IF(C574='63'!$B$107,"TRUE","")</f>
        <v/>
      </c>
      <c r="F574" s="17">
        <v>10</v>
      </c>
      <c r="G574" s="17">
        <v>1</v>
      </c>
      <c r="H574" s="21" t="s">
        <v>18</v>
      </c>
      <c r="J574" s="17">
        <v>63</v>
      </c>
      <c r="K574" s="17">
        <v>18</v>
      </c>
      <c r="L574" t="str">
        <f>IF('63'!$A$174="","",'63'!$A$174)</f>
        <v/>
      </c>
      <c r="M574" t="str">
        <f>IF('63'!$D$174="","",'63'!$D$174)</f>
        <v/>
      </c>
      <c r="N574" t="str">
        <f>IF('63'!$E$106="","",'63'!$E$106)</f>
        <v/>
      </c>
    </row>
    <row r="575" spans="1:14" hidden="1" x14ac:dyDescent="0.3">
      <c r="A575" t="s">
        <v>216</v>
      </c>
      <c r="B575" s="20" t="s">
        <v>1</v>
      </c>
      <c r="C575" s="11" t="s">
        <v>244</v>
      </c>
      <c r="E575" s="4" t="str">
        <f>IF(C575='63'!$B$107,"TRUE","")</f>
        <v/>
      </c>
      <c r="F575" s="17">
        <v>10</v>
      </c>
      <c r="G575" s="17">
        <v>1</v>
      </c>
      <c r="H575" s="21" t="s">
        <v>18</v>
      </c>
      <c r="J575" s="17">
        <v>63</v>
      </c>
      <c r="K575" s="17">
        <v>18</v>
      </c>
      <c r="L575" t="str">
        <f>IF('63'!$A$174="","",'63'!$A$174)</f>
        <v/>
      </c>
      <c r="M575" t="str">
        <f>IF('63'!$D$174="","",'63'!$D$174)</f>
        <v/>
      </c>
      <c r="N575" t="str">
        <f>IF('63'!$E$106="","",'63'!$E$106)</f>
        <v/>
      </c>
    </row>
    <row r="576" spans="1:14" hidden="1" x14ac:dyDescent="0.3">
      <c r="A576" t="s">
        <v>216</v>
      </c>
      <c r="B576" s="20" t="s">
        <v>1</v>
      </c>
      <c r="C576" s="11" t="s">
        <v>245</v>
      </c>
      <c r="E576" s="4" t="str">
        <f>IF(C576='63'!$B$107,"TRUE","")</f>
        <v/>
      </c>
      <c r="F576" s="17">
        <v>10</v>
      </c>
      <c r="G576" s="17">
        <v>1</v>
      </c>
      <c r="H576" s="21" t="s">
        <v>18</v>
      </c>
      <c r="J576" s="17">
        <v>63</v>
      </c>
      <c r="K576" s="17">
        <v>18</v>
      </c>
      <c r="L576" t="str">
        <f>IF('63'!$A$174="","",'63'!$A$174)</f>
        <v/>
      </c>
      <c r="M576" t="str">
        <f>IF('63'!$D$174="","",'63'!$D$174)</f>
        <v/>
      </c>
      <c r="N576" t="str">
        <f>IF('63'!$E$106="","",'63'!$E$106)</f>
        <v/>
      </c>
    </row>
    <row r="577" spans="1:14" hidden="1" x14ac:dyDescent="0.3">
      <c r="A577" t="s">
        <v>217</v>
      </c>
      <c r="B577" s="20" t="s">
        <v>375</v>
      </c>
      <c r="D577">
        <v>-2</v>
      </c>
      <c r="E577" s="4" t="str">
        <f>IF(B577='63'!$B$109,"TRUE","")</f>
        <v/>
      </c>
      <c r="F577" s="17">
        <v>10</v>
      </c>
      <c r="G577" s="17">
        <v>2</v>
      </c>
      <c r="H577" s="21" t="s">
        <v>18</v>
      </c>
      <c r="J577" s="17">
        <v>63</v>
      </c>
      <c r="K577" s="17">
        <v>18</v>
      </c>
      <c r="L577" t="str">
        <f>IF('63'!$A$174="","",'63'!$A$174)</f>
        <v/>
      </c>
      <c r="M577" t="str">
        <f>IF('63'!$D$174="","",'63'!$D$174)</f>
        <v/>
      </c>
      <c r="N577" t="str">
        <f>IF('63'!$E$109="","",'63'!$E$109)</f>
        <v/>
      </c>
    </row>
    <row r="578" spans="1:14" hidden="1" x14ac:dyDescent="0.3">
      <c r="A578" t="s">
        <v>217</v>
      </c>
      <c r="B578" s="20" t="s">
        <v>1</v>
      </c>
      <c r="C578" s="11" t="s">
        <v>246</v>
      </c>
      <c r="E578" s="4" t="str">
        <f>IF(C578='63'!$B$110,"TRUE","")</f>
        <v/>
      </c>
      <c r="F578" s="17">
        <v>10</v>
      </c>
      <c r="G578" s="17">
        <v>2</v>
      </c>
      <c r="H578" s="21" t="s">
        <v>18</v>
      </c>
      <c r="J578" s="17">
        <v>63</v>
      </c>
      <c r="K578" s="17">
        <v>18</v>
      </c>
      <c r="L578" t="str">
        <f>IF('63'!$A$174="","",'63'!$A$174)</f>
        <v/>
      </c>
      <c r="M578" t="str">
        <f>IF('63'!$D$174="","",'63'!$D$174)</f>
        <v/>
      </c>
      <c r="N578" t="str">
        <f>IF('63'!$E$109="","",'63'!$E$109)</f>
        <v/>
      </c>
    </row>
    <row r="579" spans="1:14" hidden="1" x14ac:dyDescent="0.3">
      <c r="A579" t="s">
        <v>217</v>
      </c>
      <c r="B579" s="20" t="s">
        <v>1</v>
      </c>
      <c r="C579" s="11" t="s">
        <v>247</v>
      </c>
      <c r="E579" s="4" t="str">
        <f>IF(C579='63'!$B$110,"TRUE","")</f>
        <v/>
      </c>
      <c r="F579" s="17">
        <v>10</v>
      </c>
      <c r="G579" s="17">
        <v>2</v>
      </c>
      <c r="H579" s="21" t="s">
        <v>18</v>
      </c>
      <c r="J579" s="17">
        <v>63</v>
      </c>
      <c r="K579" s="17">
        <v>18</v>
      </c>
      <c r="L579" t="str">
        <f>IF('63'!$A$174="","",'63'!$A$174)</f>
        <v/>
      </c>
      <c r="M579" t="str">
        <f>IF('63'!$D$174="","",'63'!$D$174)</f>
        <v/>
      </c>
      <c r="N579" t="str">
        <f>IF('63'!$E$109="","",'63'!$E$109)</f>
        <v/>
      </c>
    </row>
    <row r="580" spans="1:14" hidden="1" x14ac:dyDescent="0.3">
      <c r="A580" t="s">
        <v>217</v>
      </c>
      <c r="B580" s="20" t="s">
        <v>1</v>
      </c>
      <c r="C580" s="12" t="s">
        <v>248</v>
      </c>
      <c r="E580" s="4" t="str">
        <f>IF(C580='63'!$B$110,"TRUE","")</f>
        <v/>
      </c>
      <c r="F580" s="17">
        <v>10</v>
      </c>
      <c r="G580" s="17">
        <v>2</v>
      </c>
      <c r="H580" s="21" t="s">
        <v>18</v>
      </c>
      <c r="J580" s="17">
        <v>63</v>
      </c>
      <c r="K580" s="17">
        <v>18</v>
      </c>
      <c r="L580" t="str">
        <f>IF('63'!$A$174="","",'63'!$A$174)</f>
        <v/>
      </c>
      <c r="M580" t="str">
        <f>IF('63'!$D$174="","",'63'!$D$174)</f>
        <v/>
      </c>
      <c r="N580" t="str">
        <f>IF('63'!$E$109="","",'63'!$E$109)</f>
        <v/>
      </c>
    </row>
    <row r="581" spans="1:14" hidden="1" x14ac:dyDescent="0.3">
      <c r="A581" t="s">
        <v>217</v>
      </c>
      <c r="B581" s="20" t="s">
        <v>1</v>
      </c>
      <c r="C581" s="12" t="s">
        <v>249</v>
      </c>
      <c r="E581" s="4" t="str">
        <f>IF(C581='63'!$B$110,"TRUE","")</f>
        <v/>
      </c>
      <c r="F581" s="17">
        <v>10</v>
      </c>
      <c r="G581" s="17">
        <v>2</v>
      </c>
      <c r="H581" s="21" t="s">
        <v>18</v>
      </c>
      <c r="J581" s="17">
        <v>63</v>
      </c>
      <c r="K581" s="17">
        <v>18</v>
      </c>
      <c r="L581" t="str">
        <f>IF('63'!$A$174="","",'63'!$A$174)</f>
        <v/>
      </c>
      <c r="M581" t="str">
        <f>IF('63'!$D$174="","",'63'!$D$174)</f>
        <v/>
      </c>
      <c r="N581" t="str">
        <f>IF('63'!$E$109="","",'63'!$E$109)</f>
        <v/>
      </c>
    </row>
    <row r="582" spans="1:14" hidden="1" x14ac:dyDescent="0.3">
      <c r="A582" t="s">
        <v>217</v>
      </c>
      <c r="B582" s="20" t="s">
        <v>1</v>
      </c>
      <c r="C582" s="12" t="s">
        <v>250</v>
      </c>
      <c r="E582" s="4" t="str">
        <f>IF(C582='63'!$B$110,"TRUE","")</f>
        <v/>
      </c>
      <c r="F582" s="17">
        <v>10</v>
      </c>
      <c r="G582" s="17">
        <v>2</v>
      </c>
      <c r="H582" s="21" t="s">
        <v>18</v>
      </c>
      <c r="J582" s="17">
        <v>63</v>
      </c>
      <c r="K582" s="17">
        <v>18</v>
      </c>
      <c r="L582" t="str">
        <f>IF('63'!$A$174="","",'63'!$A$174)</f>
        <v/>
      </c>
      <c r="M582" t="str">
        <f>IF('63'!$D$174="","",'63'!$D$174)</f>
        <v/>
      </c>
      <c r="N582" t="str">
        <f>IF('63'!$E$109="","",'63'!$E$109)</f>
        <v/>
      </c>
    </row>
    <row r="583" spans="1:14" ht="28.8" hidden="1" x14ac:dyDescent="0.3">
      <c r="A583" t="s">
        <v>217</v>
      </c>
      <c r="B583" s="20" t="s">
        <v>1</v>
      </c>
      <c r="C583" s="12" t="s">
        <v>251</v>
      </c>
      <c r="E583" s="4" t="str">
        <f>IF(C583='63'!$B$110,"TRUE","")</f>
        <v/>
      </c>
      <c r="F583" s="17">
        <v>10</v>
      </c>
      <c r="G583" s="17">
        <v>2</v>
      </c>
      <c r="H583" s="21" t="s">
        <v>18</v>
      </c>
      <c r="J583" s="17">
        <v>63</v>
      </c>
      <c r="K583" s="17">
        <v>18</v>
      </c>
      <c r="L583" t="str">
        <f>IF('63'!$A$174="","",'63'!$A$174)</f>
        <v/>
      </c>
      <c r="M583" t="str">
        <f>IF('63'!$D$174="","",'63'!$D$174)</f>
        <v/>
      </c>
      <c r="N583" t="str">
        <f>IF('63'!$E$109="","",'63'!$E$109)</f>
        <v/>
      </c>
    </row>
    <row r="584" spans="1:14" hidden="1" x14ac:dyDescent="0.3">
      <c r="A584" t="s">
        <v>215</v>
      </c>
      <c r="B584" s="20" t="s">
        <v>375</v>
      </c>
      <c r="D584">
        <v>-2</v>
      </c>
      <c r="E584" s="4" t="str">
        <f>IF(B584='63'!$B$113,"TRUE","")</f>
        <v/>
      </c>
      <c r="F584" s="17">
        <v>11</v>
      </c>
      <c r="G584" s="17">
        <v>0</v>
      </c>
      <c r="H584" s="21" t="s">
        <v>18</v>
      </c>
      <c r="J584" s="17">
        <v>63</v>
      </c>
      <c r="K584" s="17">
        <v>18</v>
      </c>
      <c r="L584" t="str">
        <f>IF('63'!$A$174="","",'63'!$A$174)</f>
        <v/>
      </c>
      <c r="M584" t="str">
        <f>IF('63'!$D$174="","",'63'!$D$174)</f>
        <v/>
      </c>
      <c r="N584" t="str">
        <f>IF('63'!$E$113="","",'63'!$E$113)</f>
        <v/>
      </c>
    </row>
    <row r="585" spans="1:14" hidden="1" x14ac:dyDescent="0.3">
      <c r="A585" t="s">
        <v>215</v>
      </c>
      <c r="B585" s="20" t="s">
        <v>1</v>
      </c>
      <c r="C585" s="11" t="s">
        <v>236</v>
      </c>
      <c r="E585" s="4" t="str">
        <f>IF(C585='63'!$B$114,"TRUE","")</f>
        <v/>
      </c>
      <c r="F585" s="17">
        <v>11</v>
      </c>
      <c r="G585" s="17">
        <v>0</v>
      </c>
      <c r="H585" s="21" t="s">
        <v>18</v>
      </c>
      <c r="J585" s="17">
        <v>63</v>
      </c>
      <c r="K585" s="17">
        <v>18</v>
      </c>
      <c r="L585" t="str">
        <f>IF('63'!$A$174="","",'63'!$A$174)</f>
        <v/>
      </c>
      <c r="M585" t="str">
        <f>IF('63'!$D$174="","",'63'!$D$174)</f>
        <v/>
      </c>
      <c r="N585" t="str">
        <f>IF('63'!$E$113="","",'63'!$E$113)</f>
        <v/>
      </c>
    </row>
    <row r="586" spans="1:14" hidden="1" x14ac:dyDescent="0.3">
      <c r="A586" t="s">
        <v>215</v>
      </c>
      <c r="B586" s="20" t="s">
        <v>1</v>
      </c>
      <c r="C586" s="11" t="s">
        <v>237</v>
      </c>
      <c r="E586" s="4" t="str">
        <f>IF(C586='63'!$B$114,"TRUE","")</f>
        <v/>
      </c>
      <c r="F586" s="17">
        <v>11</v>
      </c>
      <c r="G586" s="17">
        <v>0</v>
      </c>
      <c r="H586" s="21" t="s">
        <v>18</v>
      </c>
      <c r="J586" s="17">
        <v>63</v>
      </c>
      <c r="K586" s="17">
        <v>18</v>
      </c>
      <c r="L586" t="str">
        <f>IF('63'!$A$174="","",'63'!$A$174)</f>
        <v/>
      </c>
      <c r="M586" t="str">
        <f>IF('63'!$D$174="","",'63'!$D$174)</f>
        <v/>
      </c>
      <c r="N586" t="str">
        <f>IF('63'!$E$113="","",'63'!$E$113)</f>
        <v/>
      </c>
    </row>
    <row r="587" spans="1:14" hidden="1" x14ac:dyDescent="0.3">
      <c r="A587" t="s">
        <v>215</v>
      </c>
      <c r="B587" s="20" t="s">
        <v>1</v>
      </c>
      <c r="C587" s="11" t="s">
        <v>238</v>
      </c>
      <c r="E587" s="4" t="str">
        <f>IF(C587='63'!$B$114,"TRUE","")</f>
        <v/>
      </c>
      <c r="F587" s="17">
        <v>11</v>
      </c>
      <c r="G587" s="17">
        <v>0</v>
      </c>
      <c r="H587" s="21" t="s">
        <v>18</v>
      </c>
      <c r="J587" s="17">
        <v>63</v>
      </c>
      <c r="K587" s="17">
        <v>18</v>
      </c>
      <c r="L587" t="str">
        <f>IF('63'!$A$174="","",'63'!$A$174)</f>
        <v/>
      </c>
      <c r="M587" t="str">
        <f>IF('63'!$D$174="","",'63'!$D$174)</f>
        <v/>
      </c>
      <c r="N587" t="str">
        <f>IF('63'!$E$113="","",'63'!$E$113)</f>
        <v/>
      </c>
    </row>
    <row r="588" spans="1:14" hidden="1" x14ac:dyDescent="0.3">
      <c r="A588" t="s">
        <v>215</v>
      </c>
      <c r="B588" s="20" t="s">
        <v>1</v>
      </c>
      <c r="C588" s="11" t="s">
        <v>239</v>
      </c>
      <c r="E588" s="4" t="str">
        <f>IF(C588='63'!$B$114,"TRUE","")</f>
        <v/>
      </c>
      <c r="F588" s="17">
        <v>11</v>
      </c>
      <c r="G588" s="17">
        <v>0</v>
      </c>
      <c r="H588" s="21" t="s">
        <v>18</v>
      </c>
      <c r="J588" s="17">
        <v>63</v>
      </c>
      <c r="K588" s="17">
        <v>18</v>
      </c>
      <c r="L588" t="str">
        <f>IF('63'!$A$174="","",'63'!$A$174)</f>
        <v/>
      </c>
      <c r="M588" t="str">
        <f>IF('63'!$D$174="","",'63'!$D$174)</f>
        <v/>
      </c>
      <c r="N588" t="str">
        <f>IF('63'!$E$113="","",'63'!$E$113)</f>
        <v/>
      </c>
    </row>
    <row r="589" spans="1:14" ht="28.8" hidden="1" x14ac:dyDescent="0.3">
      <c r="A589" t="s">
        <v>215</v>
      </c>
      <c r="B589" s="20" t="s">
        <v>1</v>
      </c>
      <c r="C589" s="12" t="s">
        <v>240</v>
      </c>
      <c r="E589" s="4" t="str">
        <f>IF(C589='63'!$B$114,"TRUE","")</f>
        <v/>
      </c>
      <c r="F589" s="17">
        <v>11</v>
      </c>
      <c r="G589" s="17">
        <v>0</v>
      </c>
      <c r="H589" s="21" t="s">
        <v>18</v>
      </c>
      <c r="J589" s="17">
        <v>63</v>
      </c>
      <c r="K589" s="17">
        <v>18</v>
      </c>
      <c r="L589" t="str">
        <f>IF('63'!$A$174="","",'63'!$A$174)</f>
        <v/>
      </c>
      <c r="M589" t="str">
        <f>IF('63'!$D$174="","",'63'!$D$174)</f>
        <v/>
      </c>
      <c r="N589" t="str">
        <f>IF('63'!$E$113="","",'63'!$E$113)</f>
        <v/>
      </c>
    </row>
    <row r="590" spans="1:14" hidden="1" x14ac:dyDescent="0.3">
      <c r="A590" t="s">
        <v>216</v>
      </c>
      <c r="B590" s="20" t="s">
        <v>375</v>
      </c>
      <c r="D590">
        <v>-2</v>
      </c>
      <c r="E590" s="4" t="str">
        <f>IF(B590='63'!$B$116,"TRUE","")</f>
        <v/>
      </c>
      <c r="F590" s="17">
        <v>11</v>
      </c>
      <c r="G590" s="17">
        <v>1</v>
      </c>
      <c r="H590" s="21" t="s">
        <v>18</v>
      </c>
      <c r="J590" s="17">
        <v>63</v>
      </c>
      <c r="K590" s="17">
        <v>18</v>
      </c>
      <c r="L590" t="str">
        <f>IF('63'!$A$174="","",'63'!$A$174)</f>
        <v/>
      </c>
      <c r="M590" t="str">
        <f>IF('63'!$D$174="","",'63'!$D$174)</f>
        <v/>
      </c>
      <c r="N590" t="str">
        <f>IF('63'!$E$116="","",'63'!$E$116)</f>
        <v/>
      </c>
    </row>
    <row r="591" spans="1:14" hidden="1" x14ac:dyDescent="0.3">
      <c r="A591" t="s">
        <v>216</v>
      </c>
      <c r="B591" s="20" t="s">
        <v>1</v>
      </c>
      <c r="C591" s="11" t="s">
        <v>241</v>
      </c>
      <c r="E591" s="4" t="str">
        <f>IF(C591='63'!$B$117,"TRUE","")</f>
        <v/>
      </c>
      <c r="F591" s="17">
        <v>11</v>
      </c>
      <c r="G591" s="17">
        <v>1</v>
      </c>
      <c r="H591" s="21" t="s">
        <v>18</v>
      </c>
      <c r="J591" s="17">
        <v>63</v>
      </c>
      <c r="K591" s="17">
        <v>18</v>
      </c>
      <c r="L591" t="str">
        <f>IF('63'!$A$174="","",'63'!$A$174)</f>
        <v/>
      </c>
      <c r="M591" t="str">
        <f>IF('63'!$D$174="","",'63'!$D$174)</f>
        <v/>
      </c>
      <c r="N591" t="str">
        <f>IF('63'!$E$116="","",'63'!$E$116)</f>
        <v/>
      </c>
    </row>
    <row r="592" spans="1:14" ht="28.8" hidden="1" x14ac:dyDescent="0.3">
      <c r="A592" t="s">
        <v>216</v>
      </c>
      <c r="B592" s="20" t="s">
        <v>1</v>
      </c>
      <c r="C592" s="12" t="s">
        <v>242</v>
      </c>
      <c r="E592" s="4" t="str">
        <f>IF(C592='63'!$B$117,"TRUE","")</f>
        <v/>
      </c>
      <c r="F592" s="17">
        <v>11</v>
      </c>
      <c r="G592" s="17">
        <v>1</v>
      </c>
      <c r="H592" s="21" t="s">
        <v>18</v>
      </c>
      <c r="J592" s="17">
        <v>63</v>
      </c>
      <c r="K592" s="17">
        <v>18</v>
      </c>
      <c r="L592" t="str">
        <f>IF('63'!$A$174="","",'63'!$A$174)</f>
        <v/>
      </c>
      <c r="M592" t="str">
        <f>IF('63'!$D$174="","",'63'!$D$174)</f>
        <v/>
      </c>
      <c r="N592" t="str">
        <f>IF('63'!$E$116="","",'63'!$E$116)</f>
        <v/>
      </c>
    </row>
    <row r="593" spans="1:14" ht="28.8" hidden="1" x14ac:dyDescent="0.3">
      <c r="A593" t="s">
        <v>216</v>
      </c>
      <c r="B593" s="20" t="s">
        <v>1</v>
      </c>
      <c r="C593" s="12" t="s">
        <v>243</v>
      </c>
      <c r="E593" s="4" t="str">
        <f>IF(C593='63'!$B$117,"TRUE","")</f>
        <v/>
      </c>
      <c r="F593" s="17">
        <v>11</v>
      </c>
      <c r="G593" s="17">
        <v>1</v>
      </c>
      <c r="H593" s="21" t="s">
        <v>18</v>
      </c>
      <c r="J593" s="17">
        <v>63</v>
      </c>
      <c r="K593" s="17">
        <v>18</v>
      </c>
      <c r="L593" t="str">
        <f>IF('63'!$A$174="","",'63'!$A$174)</f>
        <v/>
      </c>
      <c r="M593" t="str">
        <f>IF('63'!$D$174="","",'63'!$D$174)</f>
        <v/>
      </c>
      <c r="N593" t="str">
        <f>IF('63'!$E$116="","",'63'!$E$116)</f>
        <v/>
      </c>
    </row>
    <row r="594" spans="1:14" hidden="1" x14ac:dyDescent="0.3">
      <c r="A594" t="s">
        <v>216</v>
      </c>
      <c r="B594" s="20" t="s">
        <v>1</v>
      </c>
      <c r="C594" s="11" t="s">
        <v>244</v>
      </c>
      <c r="E594" s="4" t="str">
        <f>IF(C594='63'!$B$117,"TRUE","")</f>
        <v/>
      </c>
      <c r="F594" s="17">
        <v>11</v>
      </c>
      <c r="G594" s="17">
        <v>1</v>
      </c>
      <c r="H594" s="21" t="s">
        <v>18</v>
      </c>
      <c r="J594" s="17">
        <v>63</v>
      </c>
      <c r="K594" s="17">
        <v>18</v>
      </c>
      <c r="L594" t="str">
        <f>IF('63'!$A$174="","",'63'!$A$174)</f>
        <v/>
      </c>
      <c r="M594" t="str">
        <f>IF('63'!$D$174="","",'63'!$D$174)</f>
        <v/>
      </c>
      <c r="N594" t="str">
        <f>IF('63'!$E$116="","",'63'!$E$116)</f>
        <v/>
      </c>
    </row>
    <row r="595" spans="1:14" hidden="1" x14ac:dyDescent="0.3">
      <c r="A595" t="s">
        <v>216</v>
      </c>
      <c r="B595" s="20" t="s">
        <v>1</v>
      </c>
      <c r="C595" s="11" t="s">
        <v>245</v>
      </c>
      <c r="E595" s="4" t="str">
        <f>IF(C595='63'!$B$117,"TRUE","")</f>
        <v/>
      </c>
      <c r="F595" s="17">
        <v>11</v>
      </c>
      <c r="G595" s="17">
        <v>1</v>
      </c>
      <c r="H595" s="21" t="s">
        <v>18</v>
      </c>
      <c r="J595" s="17">
        <v>63</v>
      </c>
      <c r="K595" s="17">
        <v>18</v>
      </c>
      <c r="L595" t="str">
        <f>IF('63'!$A$174="","",'63'!$A$174)</f>
        <v/>
      </c>
      <c r="M595" t="str">
        <f>IF('63'!$D$174="","",'63'!$D$174)</f>
        <v/>
      </c>
      <c r="N595" t="str">
        <f>IF('63'!$E$116="","",'63'!$E$116)</f>
        <v/>
      </c>
    </row>
    <row r="596" spans="1:14" hidden="1" x14ac:dyDescent="0.3">
      <c r="A596" t="s">
        <v>217</v>
      </c>
      <c r="B596" s="20" t="s">
        <v>375</v>
      </c>
      <c r="D596">
        <v>-2</v>
      </c>
      <c r="E596" s="4" t="str">
        <f>IF(B596='63'!$B$119,"TRUE","")</f>
        <v/>
      </c>
      <c r="F596" s="17">
        <v>11</v>
      </c>
      <c r="G596" s="17">
        <v>2</v>
      </c>
      <c r="H596" s="21" t="s">
        <v>18</v>
      </c>
      <c r="J596" s="17">
        <v>63</v>
      </c>
      <c r="K596" s="17">
        <v>18</v>
      </c>
      <c r="L596" t="str">
        <f>IF('63'!$A$174="","",'63'!$A$174)</f>
        <v/>
      </c>
      <c r="M596" t="str">
        <f>IF('63'!$D$174="","",'63'!$D$174)</f>
        <v/>
      </c>
      <c r="N596" t="str">
        <f>IF('63'!$E$119="","",'63'!$E$119)</f>
        <v/>
      </c>
    </row>
    <row r="597" spans="1:14" hidden="1" x14ac:dyDescent="0.3">
      <c r="A597" t="s">
        <v>217</v>
      </c>
      <c r="B597" s="20" t="s">
        <v>1</v>
      </c>
      <c r="C597" s="11" t="s">
        <v>246</v>
      </c>
      <c r="E597" s="4" t="str">
        <f>IF(C597='63'!$B$120,"TRUE","")</f>
        <v/>
      </c>
      <c r="F597" s="17">
        <v>11</v>
      </c>
      <c r="G597" s="17">
        <v>2</v>
      </c>
      <c r="H597" s="21" t="s">
        <v>18</v>
      </c>
      <c r="J597" s="17">
        <v>63</v>
      </c>
      <c r="K597" s="17">
        <v>18</v>
      </c>
      <c r="L597" t="str">
        <f>IF('63'!$A$174="","",'63'!$A$174)</f>
        <v/>
      </c>
      <c r="M597" t="str">
        <f>IF('63'!$D$174="","",'63'!$D$174)</f>
        <v/>
      </c>
      <c r="N597" t="str">
        <f>IF('63'!$E$119="","",'63'!$E$119)</f>
        <v/>
      </c>
    </row>
    <row r="598" spans="1:14" hidden="1" x14ac:dyDescent="0.3">
      <c r="A598" t="s">
        <v>217</v>
      </c>
      <c r="B598" s="20" t="s">
        <v>1</v>
      </c>
      <c r="C598" s="11" t="s">
        <v>247</v>
      </c>
      <c r="E598" s="4" t="str">
        <f>IF(C598='63'!$B$120,"TRUE","")</f>
        <v/>
      </c>
      <c r="F598" s="17">
        <v>11</v>
      </c>
      <c r="G598" s="17">
        <v>2</v>
      </c>
      <c r="H598" s="21" t="s">
        <v>18</v>
      </c>
      <c r="J598" s="17">
        <v>63</v>
      </c>
      <c r="K598" s="17">
        <v>18</v>
      </c>
      <c r="L598" t="str">
        <f>IF('63'!$A$174="","",'63'!$A$174)</f>
        <v/>
      </c>
      <c r="M598" t="str">
        <f>IF('63'!$D$174="","",'63'!$D$174)</f>
        <v/>
      </c>
      <c r="N598" t="str">
        <f>IF('63'!$E$119="","",'63'!$E$119)</f>
        <v/>
      </c>
    </row>
    <row r="599" spans="1:14" hidden="1" x14ac:dyDescent="0.3">
      <c r="A599" t="s">
        <v>217</v>
      </c>
      <c r="B599" s="20" t="s">
        <v>1</v>
      </c>
      <c r="C599" s="12" t="s">
        <v>248</v>
      </c>
      <c r="E599" s="4" t="str">
        <f>IF(C599='63'!$B$120,"TRUE","")</f>
        <v/>
      </c>
      <c r="F599" s="17">
        <v>11</v>
      </c>
      <c r="G599" s="17">
        <v>2</v>
      </c>
      <c r="H599" s="21" t="s">
        <v>18</v>
      </c>
      <c r="J599" s="17">
        <v>63</v>
      </c>
      <c r="K599" s="17">
        <v>18</v>
      </c>
      <c r="L599" t="str">
        <f>IF('63'!$A$174="","",'63'!$A$174)</f>
        <v/>
      </c>
      <c r="M599" t="str">
        <f>IF('63'!$D$174="","",'63'!$D$174)</f>
        <v/>
      </c>
      <c r="N599" t="str">
        <f>IF('63'!$E$119="","",'63'!$E$119)</f>
        <v/>
      </c>
    </row>
    <row r="600" spans="1:14" hidden="1" x14ac:dyDescent="0.3">
      <c r="A600" t="s">
        <v>217</v>
      </c>
      <c r="B600" s="20" t="s">
        <v>1</v>
      </c>
      <c r="C600" s="12" t="s">
        <v>249</v>
      </c>
      <c r="E600" s="4" t="str">
        <f>IF(C600='63'!$B$120,"TRUE","")</f>
        <v/>
      </c>
      <c r="F600" s="17">
        <v>11</v>
      </c>
      <c r="G600" s="17">
        <v>2</v>
      </c>
      <c r="H600" s="21" t="s">
        <v>18</v>
      </c>
      <c r="J600" s="17">
        <v>63</v>
      </c>
      <c r="K600" s="17">
        <v>18</v>
      </c>
      <c r="L600" t="str">
        <f>IF('63'!$A$174="","",'63'!$A$174)</f>
        <v/>
      </c>
      <c r="M600" t="str">
        <f>IF('63'!$D$174="","",'63'!$D$174)</f>
        <v/>
      </c>
      <c r="N600" t="str">
        <f>IF('63'!$E$119="","",'63'!$E$119)</f>
        <v/>
      </c>
    </row>
    <row r="601" spans="1:14" hidden="1" x14ac:dyDescent="0.3">
      <c r="A601" t="s">
        <v>217</v>
      </c>
      <c r="B601" s="20" t="s">
        <v>1</v>
      </c>
      <c r="C601" s="12" t="s">
        <v>250</v>
      </c>
      <c r="E601" s="4" t="str">
        <f>IF(C601='63'!$B$120,"TRUE","")</f>
        <v/>
      </c>
      <c r="F601" s="17">
        <v>11</v>
      </c>
      <c r="G601" s="17">
        <v>2</v>
      </c>
      <c r="H601" s="21" t="s">
        <v>18</v>
      </c>
      <c r="J601" s="17">
        <v>63</v>
      </c>
      <c r="K601" s="17">
        <v>18</v>
      </c>
      <c r="L601" t="str">
        <f>IF('63'!$A$174="","",'63'!$A$174)</f>
        <v/>
      </c>
      <c r="M601" t="str">
        <f>IF('63'!$D$174="","",'63'!$D$174)</f>
        <v/>
      </c>
      <c r="N601" t="str">
        <f>IF('63'!$E$119="","",'63'!$E$119)</f>
        <v/>
      </c>
    </row>
    <row r="602" spans="1:14" ht="28.8" hidden="1" x14ac:dyDescent="0.3">
      <c r="A602" t="s">
        <v>217</v>
      </c>
      <c r="B602" s="20" t="s">
        <v>1</v>
      </c>
      <c r="C602" s="12" t="s">
        <v>251</v>
      </c>
      <c r="E602" s="4" t="str">
        <f>IF(C602='63'!$B$120,"TRUE","")</f>
        <v/>
      </c>
      <c r="F602" s="17">
        <v>11</v>
      </c>
      <c r="G602" s="17">
        <v>2</v>
      </c>
      <c r="H602" s="21" t="s">
        <v>18</v>
      </c>
      <c r="J602" s="17">
        <v>63</v>
      </c>
      <c r="K602" s="17">
        <v>18</v>
      </c>
      <c r="L602" t="str">
        <f>IF('63'!$A$174="","",'63'!$A$174)</f>
        <v/>
      </c>
      <c r="M602" t="str">
        <f>IF('63'!$D$174="","",'63'!$D$174)</f>
        <v/>
      </c>
      <c r="N602" t="str">
        <f>IF('63'!$E$119="","",'63'!$E$119)</f>
        <v/>
      </c>
    </row>
    <row r="603" spans="1:14" hidden="1" x14ac:dyDescent="0.3">
      <c r="A603" t="s">
        <v>215</v>
      </c>
      <c r="B603" s="20" t="s">
        <v>375</v>
      </c>
      <c r="D603">
        <v>-2</v>
      </c>
      <c r="E603" s="4" t="str">
        <f>IF(B603='63'!$B$123,"TRUE","")</f>
        <v/>
      </c>
      <c r="F603" s="17">
        <v>12</v>
      </c>
      <c r="G603" s="17">
        <v>0</v>
      </c>
      <c r="H603" s="21" t="s">
        <v>18</v>
      </c>
      <c r="J603" s="17">
        <v>63</v>
      </c>
      <c r="K603" s="17">
        <v>18</v>
      </c>
      <c r="L603" t="str">
        <f>IF('63'!$A$174="","",'63'!$A$174)</f>
        <v/>
      </c>
      <c r="M603" t="str">
        <f>IF('63'!$D$174="","",'63'!$D$174)</f>
        <v/>
      </c>
      <c r="N603" t="str">
        <f>IF('63'!$E$123="","",'63'!$E$123)</f>
        <v/>
      </c>
    </row>
    <row r="604" spans="1:14" hidden="1" x14ac:dyDescent="0.3">
      <c r="A604" t="s">
        <v>215</v>
      </c>
      <c r="B604" s="20" t="s">
        <v>1</v>
      </c>
      <c r="C604" s="11" t="s">
        <v>236</v>
      </c>
      <c r="E604" s="4" t="str">
        <f>IF(C604='63'!$B$124,"TRUE","")</f>
        <v/>
      </c>
      <c r="F604" s="17">
        <v>12</v>
      </c>
      <c r="G604" s="17">
        <v>0</v>
      </c>
      <c r="H604" s="21" t="s">
        <v>18</v>
      </c>
      <c r="J604" s="17">
        <v>63</v>
      </c>
      <c r="K604" s="17">
        <v>18</v>
      </c>
      <c r="L604" t="str">
        <f>IF('63'!$A$174="","",'63'!$A$174)</f>
        <v/>
      </c>
      <c r="M604" t="str">
        <f>IF('63'!$D$174="","",'63'!$D$174)</f>
        <v/>
      </c>
      <c r="N604" t="str">
        <f>IF('63'!$E$123="","",'63'!$E$123)</f>
        <v/>
      </c>
    </row>
    <row r="605" spans="1:14" hidden="1" x14ac:dyDescent="0.3">
      <c r="A605" t="s">
        <v>215</v>
      </c>
      <c r="B605" s="20" t="s">
        <v>1</v>
      </c>
      <c r="C605" s="11" t="s">
        <v>237</v>
      </c>
      <c r="E605" s="4" t="str">
        <f>IF(C605='63'!$B$124,"TRUE","")</f>
        <v/>
      </c>
      <c r="F605" s="17">
        <v>12</v>
      </c>
      <c r="G605" s="17">
        <v>0</v>
      </c>
      <c r="H605" s="21" t="s">
        <v>18</v>
      </c>
      <c r="J605" s="17">
        <v>63</v>
      </c>
      <c r="K605" s="17">
        <v>18</v>
      </c>
      <c r="L605" t="str">
        <f>IF('63'!$A$174="","",'63'!$A$174)</f>
        <v/>
      </c>
      <c r="M605" t="str">
        <f>IF('63'!$D$174="","",'63'!$D$174)</f>
        <v/>
      </c>
      <c r="N605" t="str">
        <f>IF('63'!$E$123="","",'63'!$E$123)</f>
        <v/>
      </c>
    </row>
    <row r="606" spans="1:14" hidden="1" x14ac:dyDescent="0.3">
      <c r="A606" t="s">
        <v>215</v>
      </c>
      <c r="B606" s="20" t="s">
        <v>1</v>
      </c>
      <c r="C606" s="11" t="s">
        <v>238</v>
      </c>
      <c r="E606" s="4" t="str">
        <f>IF(C606='63'!$B$124,"TRUE","")</f>
        <v/>
      </c>
      <c r="F606" s="17">
        <v>12</v>
      </c>
      <c r="G606" s="17">
        <v>0</v>
      </c>
      <c r="H606" s="21" t="s">
        <v>18</v>
      </c>
      <c r="J606" s="17">
        <v>63</v>
      </c>
      <c r="K606" s="17">
        <v>18</v>
      </c>
      <c r="L606" t="str">
        <f>IF('63'!$A$174="","",'63'!$A$174)</f>
        <v/>
      </c>
      <c r="M606" t="str">
        <f>IF('63'!$D$174="","",'63'!$D$174)</f>
        <v/>
      </c>
      <c r="N606" t="str">
        <f>IF('63'!$E$123="","",'63'!$E$123)</f>
        <v/>
      </c>
    </row>
    <row r="607" spans="1:14" hidden="1" x14ac:dyDescent="0.3">
      <c r="A607" t="s">
        <v>215</v>
      </c>
      <c r="B607" s="20" t="s">
        <v>1</v>
      </c>
      <c r="C607" s="11" t="s">
        <v>239</v>
      </c>
      <c r="E607" s="4" t="str">
        <f>IF(C607='63'!$B$124,"TRUE","")</f>
        <v/>
      </c>
      <c r="F607" s="17">
        <v>12</v>
      </c>
      <c r="G607" s="17">
        <v>0</v>
      </c>
      <c r="H607" s="21" t="s">
        <v>18</v>
      </c>
      <c r="J607" s="17">
        <v>63</v>
      </c>
      <c r="K607" s="17">
        <v>18</v>
      </c>
      <c r="L607" t="str">
        <f>IF('63'!$A$174="","",'63'!$A$174)</f>
        <v/>
      </c>
      <c r="M607" t="str">
        <f>IF('63'!$D$174="","",'63'!$D$174)</f>
        <v/>
      </c>
      <c r="N607" t="str">
        <f>IF('63'!$E$123="","",'63'!$E$123)</f>
        <v/>
      </c>
    </row>
    <row r="608" spans="1:14" ht="28.8" hidden="1" x14ac:dyDescent="0.3">
      <c r="A608" t="s">
        <v>215</v>
      </c>
      <c r="B608" s="20" t="s">
        <v>1</v>
      </c>
      <c r="C608" s="12" t="s">
        <v>240</v>
      </c>
      <c r="E608" s="4" t="str">
        <f>IF(C608='63'!$B$124,"TRUE","")</f>
        <v/>
      </c>
      <c r="F608" s="17">
        <v>12</v>
      </c>
      <c r="G608" s="17">
        <v>0</v>
      </c>
      <c r="H608" s="21" t="s">
        <v>18</v>
      </c>
      <c r="J608" s="17">
        <v>63</v>
      </c>
      <c r="K608" s="17">
        <v>18</v>
      </c>
      <c r="L608" t="str">
        <f>IF('63'!$A$174="","",'63'!$A$174)</f>
        <v/>
      </c>
      <c r="M608" t="str">
        <f>IF('63'!$D$174="","",'63'!$D$174)</f>
        <v/>
      </c>
      <c r="N608" t="str">
        <f>IF('63'!$E$123="","",'63'!$E$123)</f>
        <v/>
      </c>
    </row>
    <row r="609" spans="1:14" hidden="1" x14ac:dyDescent="0.3">
      <c r="A609" t="s">
        <v>216</v>
      </c>
      <c r="B609" s="20" t="s">
        <v>375</v>
      </c>
      <c r="D609">
        <v>-2</v>
      </c>
      <c r="E609" s="4" t="str">
        <f>IF(B609='63'!$B$126,"TRUE","")</f>
        <v/>
      </c>
      <c r="F609" s="17">
        <v>12</v>
      </c>
      <c r="G609" s="17">
        <v>1</v>
      </c>
      <c r="H609" s="21" t="s">
        <v>18</v>
      </c>
      <c r="J609" s="17">
        <v>63</v>
      </c>
      <c r="K609" s="17">
        <v>18</v>
      </c>
      <c r="L609" t="str">
        <f>IF('63'!$A$174="","",'63'!$A$174)</f>
        <v/>
      </c>
      <c r="M609" t="str">
        <f>IF('63'!$D$174="","",'63'!$D$174)</f>
        <v/>
      </c>
      <c r="N609" t="str">
        <f>IF('63'!$E$126="","",'63'!$E$126)</f>
        <v/>
      </c>
    </row>
    <row r="610" spans="1:14" hidden="1" x14ac:dyDescent="0.3">
      <c r="A610" t="s">
        <v>216</v>
      </c>
      <c r="B610" s="20" t="s">
        <v>1</v>
      </c>
      <c r="C610" s="11" t="s">
        <v>241</v>
      </c>
      <c r="E610" s="4" t="str">
        <f>IF(C610='63'!$B$127,"TRUE","")</f>
        <v/>
      </c>
      <c r="F610" s="17">
        <v>12</v>
      </c>
      <c r="G610" s="17">
        <v>1</v>
      </c>
      <c r="H610" s="21" t="s">
        <v>18</v>
      </c>
      <c r="J610" s="17">
        <v>63</v>
      </c>
      <c r="K610" s="17">
        <v>18</v>
      </c>
      <c r="L610" t="str">
        <f>IF('63'!$A$174="","",'63'!$A$174)</f>
        <v/>
      </c>
      <c r="M610" t="str">
        <f>IF('63'!$D$174="","",'63'!$D$174)</f>
        <v/>
      </c>
      <c r="N610" t="str">
        <f>IF('63'!$E$126="","",'63'!$E$126)</f>
        <v/>
      </c>
    </row>
    <row r="611" spans="1:14" ht="28.8" hidden="1" x14ac:dyDescent="0.3">
      <c r="A611" t="s">
        <v>216</v>
      </c>
      <c r="B611" s="20" t="s">
        <v>1</v>
      </c>
      <c r="C611" s="12" t="s">
        <v>242</v>
      </c>
      <c r="E611" s="4" t="str">
        <f>IF(C611='63'!$B$127,"TRUE","")</f>
        <v/>
      </c>
      <c r="F611" s="17">
        <v>12</v>
      </c>
      <c r="G611" s="17">
        <v>1</v>
      </c>
      <c r="H611" s="21" t="s">
        <v>18</v>
      </c>
      <c r="J611" s="17">
        <v>63</v>
      </c>
      <c r="K611" s="17">
        <v>18</v>
      </c>
      <c r="L611" t="str">
        <f>IF('63'!$A$174="","",'63'!$A$174)</f>
        <v/>
      </c>
      <c r="M611" t="str">
        <f>IF('63'!$D$174="","",'63'!$D$174)</f>
        <v/>
      </c>
      <c r="N611" t="str">
        <f>IF('63'!$E$126="","",'63'!$E$126)</f>
        <v/>
      </c>
    </row>
    <row r="612" spans="1:14" ht="28.8" hidden="1" x14ac:dyDescent="0.3">
      <c r="A612" t="s">
        <v>216</v>
      </c>
      <c r="B612" s="20" t="s">
        <v>1</v>
      </c>
      <c r="C612" s="12" t="s">
        <v>243</v>
      </c>
      <c r="E612" s="4" t="str">
        <f>IF(C612='63'!$B$127,"TRUE","")</f>
        <v/>
      </c>
      <c r="F612" s="17">
        <v>12</v>
      </c>
      <c r="G612" s="17">
        <v>1</v>
      </c>
      <c r="H612" s="21" t="s">
        <v>18</v>
      </c>
      <c r="J612" s="17">
        <v>63</v>
      </c>
      <c r="K612" s="17">
        <v>18</v>
      </c>
      <c r="L612" t="str">
        <f>IF('63'!$A$174="","",'63'!$A$174)</f>
        <v/>
      </c>
      <c r="M612" t="str">
        <f>IF('63'!$D$174="","",'63'!$D$174)</f>
        <v/>
      </c>
      <c r="N612" t="str">
        <f>IF('63'!$E$126="","",'63'!$E$126)</f>
        <v/>
      </c>
    </row>
    <row r="613" spans="1:14" hidden="1" x14ac:dyDescent="0.3">
      <c r="A613" t="s">
        <v>216</v>
      </c>
      <c r="B613" s="20" t="s">
        <v>1</v>
      </c>
      <c r="C613" s="11" t="s">
        <v>244</v>
      </c>
      <c r="E613" s="4" t="str">
        <f>IF(C613='63'!$B$127,"TRUE","")</f>
        <v/>
      </c>
      <c r="F613" s="17">
        <v>12</v>
      </c>
      <c r="G613" s="17">
        <v>1</v>
      </c>
      <c r="H613" s="21" t="s">
        <v>18</v>
      </c>
      <c r="J613" s="17">
        <v>63</v>
      </c>
      <c r="K613" s="17">
        <v>18</v>
      </c>
      <c r="L613" t="str">
        <f>IF('63'!$A$174="","",'63'!$A$174)</f>
        <v/>
      </c>
      <c r="M613" t="str">
        <f>IF('63'!$D$174="","",'63'!$D$174)</f>
        <v/>
      </c>
      <c r="N613" t="str">
        <f>IF('63'!$E$126="","",'63'!$E$126)</f>
        <v/>
      </c>
    </row>
    <row r="614" spans="1:14" hidden="1" x14ac:dyDescent="0.3">
      <c r="A614" t="s">
        <v>216</v>
      </c>
      <c r="B614" s="20" t="s">
        <v>1</v>
      </c>
      <c r="C614" s="11" t="s">
        <v>245</v>
      </c>
      <c r="E614" s="4" t="str">
        <f>IF(C614='63'!$B$127,"TRUE","")</f>
        <v/>
      </c>
      <c r="F614" s="17">
        <v>12</v>
      </c>
      <c r="G614" s="17">
        <v>1</v>
      </c>
      <c r="H614" s="21" t="s">
        <v>18</v>
      </c>
      <c r="J614" s="17">
        <v>63</v>
      </c>
      <c r="K614" s="17">
        <v>18</v>
      </c>
      <c r="L614" t="str">
        <f>IF('63'!$A$174="","",'63'!$A$174)</f>
        <v/>
      </c>
      <c r="M614" t="str">
        <f>IF('63'!$D$174="","",'63'!$D$174)</f>
        <v/>
      </c>
      <c r="N614" t="str">
        <f>IF('63'!$E$126="","",'63'!$E$126)</f>
        <v/>
      </c>
    </row>
    <row r="615" spans="1:14" hidden="1" x14ac:dyDescent="0.3">
      <c r="A615" t="s">
        <v>217</v>
      </c>
      <c r="B615" s="20" t="s">
        <v>375</v>
      </c>
      <c r="D615">
        <v>-2</v>
      </c>
      <c r="E615" s="4" t="str">
        <f>IF(B615='63'!$B$129,"TRUE","")</f>
        <v/>
      </c>
      <c r="F615" s="17">
        <v>12</v>
      </c>
      <c r="G615" s="17">
        <v>2</v>
      </c>
      <c r="H615" s="21" t="s">
        <v>18</v>
      </c>
      <c r="J615" s="17">
        <v>63</v>
      </c>
      <c r="K615" s="17">
        <v>18</v>
      </c>
      <c r="L615" t="str">
        <f>IF('63'!$A$174="","",'63'!$A$174)</f>
        <v/>
      </c>
      <c r="M615" t="str">
        <f>IF('63'!$D$174="","",'63'!$D$174)</f>
        <v/>
      </c>
      <c r="N615" t="str">
        <f>IF('63'!$E$129="","",'63'!$E$129)</f>
        <v/>
      </c>
    </row>
    <row r="616" spans="1:14" hidden="1" x14ac:dyDescent="0.3">
      <c r="A616" t="s">
        <v>217</v>
      </c>
      <c r="B616" s="20" t="s">
        <v>1</v>
      </c>
      <c r="C616" s="11" t="s">
        <v>246</v>
      </c>
      <c r="E616" s="4" t="str">
        <f>IF(C616='63'!$B$130,"TRUE","")</f>
        <v/>
      </c>
      <c r="F616" s="17">
        <v>12</v>
      </c>
      <c r="G616" s="17">
        <v>2</v>
      </c>
      <c r="H616" s="21" t="s">
        <v>18</v>
      </c>
      <c r="J616" s="17">
        <v>63</v>
      </c>
      <c r="K616" s="17">
        <v>18</v>
      </c>
      <c r="L616" t="str">
        <f>IF('63'!$A$174="","",'63'!$A$174)</f>
        <v/>
      </c>
      <c r="M616" t="str">
        <f>IF('63'!$D$174="","",'63'!$D$174)</f>
        <v/>
      </c>
      <c r="N616" t="str">
        <f>IF('63'!$E$129="","",'63'!$E$129)</f>
        <v/>
      </c>
    </row>
    <row r="617" spans="1:14" hidden="1" x14ac:dyDescent="0.3">
      <c r="A617" t="s">
        <v>217</v>
      </c>
      <c r="B617" s="20" t="s">
        <v>1</v>
      </c>
      <c r="C617" s="11" t="s">
        <v>247</v>
      </c>
      <c r="E617" s="4" t="str">
        <f>IF(C617='63'!$B$130,"TRUE","")</f>
        <v/>
      </c>
      <c r="F617" s="17">
        <v>12</v>
      </c>
      <c r="G617" s="17">
        <v>2</v>
      </c>
      <c r="H617" s="21" t="s">
        <v>18</v>
      </c>
      <c r="J617" s="17">
        <v>63</v>
      </c>
      <c r="K617" s="17">
        <v>18</v>
      </c>
      <c r="L617" t="str">
        <f>IF('63'!$A$174="","",'63'!$A$174)</f>
        <v/>
      </c>
      <c r="M617" t="str">
        <f>IF('63'!$D$174="","",'63'!$D$174)</f>
        <v/>
      </c>
      <c r="N617" t="str">
        <f>IF('63'!$E$129="","",'63'!$E$129)</f>
        <v/>
      </c>
    </row>
    <row r="618" spans="1:14" hidden="1" x14ac:dyDescent="0.3">
      <c r="A618" t="s">
        <v>217</v>
      </c>
      <c r="B618" s="20" t="s">
        <v>1</v>
      </c>
      <c r="C618" s="12" t="s">
        <v>248</v>
      </c>
      <c r="E618" s="4" t="str">
        <f>IF(C618='63'!$B$130,"TRUE","")</f>
        <v/>
      </c>
      <c r="F618" s="17">
        <v>12</v>
      </c>
      <c r="G618" s="17">
        <v>2</v>
      </c>
      <c r="H618" s="21" t="s">
        <v>18</v>
      </c>
      <c r="J618" s="17">
        <v>63</v>
      </c>
      <c r="K618" s="17">
        <v>18</v>
      </c>
      <c r="L618" t="str">
        <f>IF('63'!$A$174="","",'63'!$A$174)</f>
        <v/>
      </c>
      <c r="M618" t="str">
        <f>IF('63'!$D$174="","",'63'!$D$174)</f>
        <v/>
      </c>
      <c r="N618" t="str">
        <f>IF('63'!$E$129="","",'63'!$E$129)</f>
        <v/>
      </c>
    </row>
    <row r="619" spans="1:14" hidden="1" x14ac:dyDescent="0.3">
      <c r="A619" t="s">
        <v>217</v>
      </c>
      <c r="B619" s="20" t="s">
        <v>1</v>
      </c>
      <c r="C619" s="12" t="s">
        <v>249</v>
      </c>
      <c r="E619" s="4" t="str">
        <f>IF(C619='63'!$B$130,"TRUE","")</f>
        <v/>
      </c>
      <c r="F619" s="17">
        <v>12</v>
      </c>
      <c r="G619" s="17">
        <v>2</v>
      </c>
      <c r="H619" s="21" t="s">
        <v>18</v>
      </c>
      <c r="J619" s="17">
        <v>63</v>
      </c>
      <c r="K619" s="17">
        <v>18</v>
      </c>
      <c r="L619" t="str">
        <f>IF('63'!$A$174="","",'63'!$A$174)</f>
        <v/>
      </c>
      <c r="M619" t="str">
        <f>IF('63'!$D$174="","",'63'!$D$174)</f>
        <v/>
      </c>
      <c r="N619" t="str">
        <f>IF('63'!$E$129="","",'63'!$E$129)</f>
        <v/>
      </c>
    </row>
    <row r="620" spans="1:14" hidden="1" x14ac:dyDescent="0.3">
      <c r="A620" t="s">
        <v>217</v>
      </c>
      <c r="B620" s="20" t="s">
        <v>1</v>
      </c>
      <c r="C620" s="12" t="s">
        <v>250</v>
      </c>
      <c r="E620" s="4" t="str">
        <f>IF(C620='63'!$B$130,"TRUE","")</f>
        <v/>
      </c>
      <c r="F620" s="17">
        <v>12</v>
      </c>
      <c r="G620" s="17">
        <v>2</v>
      </c>
      <c r="H620" s="21" t="s">
        <v>18</v>
      </c>
      <c r="J620" s="17">
        <v>63</v>
      </c>
      <c r="K620" s="17">
        <v>18</v>
      </c>
      <c r="L620" t="str">
        <f>IF('63'!$A$174="","",'63'!$A$174)</f>
        <v/>
      </c>
      <c r="M620" t="str">
        <f>IF('63'!$D$174="","",'63'!$D$174)</f>
        <v/>
      </c>
      <c r="N620" t="str">
        <f>IF('63'!$E$129="","",'63'!$E$129)</f>
        <v/>
      </c>
    </row>
    <row r="621" spans="1:14" ht="28.8" hidden="1" x14ac:dyDescent="0.3">
      <c r="A621" t="s">
        <v>217</v>
      </c>
      <c r="B621" s="20" t="s">
        <v>1</v>
      </c>
      <c r="C621" s="12" t="s">
        <v>251</v>
      </c>
      <c r="E621" s="4" t="str">
        <f>IF(C621='63'!$B$130,"TRUE","")</f>
        <v/>
      </c>
      <c r="F621" s="17">
        <v>12</v>
      </c>
      <c r="G621" s="17">
        <v>2</v>
      </c>
      <c r="H621" s="21" t="s">
        <v>18</v>
      </c>
      <c r="J621" s="17">
        <v>63</v>
      </c>
      <c r="K621" s="17">
        <v>18</v>
      </c>
      <c r="L621" t="str">
        <f>IF('63'!$A$174="","",'63'!$A$174)</f>
        <v/>
      </c>
      <c r="M621" t="str">
        <f>IF('63'!$D$174="","",'63'!$D$174)</f>
        <v/>
      </c>
      <c r="N621" t="str">
        <f>IF('63'!$E$129="","",'63'!$E$129)</f>
        <v/>
      </c>
    </row>
    <row r="622" spans="1:14" hidden="1" x14ac:dyDescent="0.3">
      <c r="A622" t="s">
        <v>215</v>
      </c>
      <c r="B622" s="20" t="s">
        <v>375</v>
      </c>
      <c r="D622">
        <v>-2</v>
      </c>
      <c r="E622" s="4" t="str">
        <f>IF(B622='63'!$B$133,"TRUE","")</f>
        <v/>
      </c>
      <c r="F622" s="17">
        <v>13</v>
      </c>
      <c r="G622" s="17">
        <v>0</v>
      </c>
      <c r="H622" s="21" t="s">
        <v>18</v>
      </c>
      <c r="J622" s="17">
        <v>63</v>
      </c>
      <c r="K622" s="17">
        <v>18</v>
      </c>
      <c r="L622" t="str">
        <f>IF('63'!$A$174="","",'63'!$A$174)</f>
        <v/>
      </c>
      <c r="M622" t="str">
        <f>IF('63'!$D$174="","",'63'!$D$174)</f>
        <v/>
      </c>
      <c r="N622" t="str">
        <f>IF('63'!$E$133="","",'63'!$E$133)</f>
        <v/>
      </c>
    </row>
    <row r="623" spans="1:14" hidden="1" x14ac:dyDescent="0.3">
      <c r="A623" t="s">
        <v>215</v>
      </c>
      <c r="B623" s="20" t="s">
        <v>1</v>
      </c>
      <c r="C623" s="11" t="s">
        <v>236</v>
      </c>
      <c r="E623" s="4" t="str">
        <f>IF(C623='63'!$B$134,"TRUE","")</f>
        <v/>
      </c>
      <c r="F623" s="17">
        <v>13</v>
      </c>
      <c r="G623" s="17">
        <v>0</v>
      </c>
      <c r="H623" s="21" t="s">
        <v>18</v>
      </c>
      <c r="J623" s="17">
        <v>63</v>
      </c>
      <c r="K623" s="17">
        <v>18</v>
      </c>
      <c r="L623" t="str">
        <f>IF('63'!$A$174="","",'63'!$A$174)</f>
        <v/>
      </c>
      <c r="M623" t="str">
        <f>IF('63'!$D$174="","",'63'!$D$174)</f>
        <v/>
      </c>
      <c r="N623" t="str">
        <f>IF('63'!$E$133="","",'63'!$E$133)</f>
        <v/>
      </c>
    </row>
    <row r="624" spans="1:14" hidden="1" x14ac:dyDescent="0.3">
      <c r="A624" t="s">
        <v>215</v>
      </c>
      <c r="B624" s="20" t="s">
        <v>1</v>
      </c>
      <c r="C624" s="11" t="s">
        <v>237</v>
      </c>
      <c r="E624" s="4" t="str">
        <f>IF(C624='63'!$B$134,"TRUE","")</f>
        <v/>
      </c>
      <c r="F624" s="17">
        <v>13</v>
      </c>
      <c r="G624" s="17">
        <v>0</v>
      </c>
      <c r="H624" s="21" t="s">
        <v>18</v>
      </c>
      <c r="J624" s="17">
        <v>63</v>
      </c>
      <c r="K624" s="17">
        <v>18</v>
      </c>
      <c r="L624" t="str">
        <f>IF('63'!$A$174="","",'63'!$A$174)</f>
        <v/>
      </c>
      <c r="M624" t="str">
        <f>IF('63'!$D$174="","",'63'!$D$174)</f>
        <v/>
      </c>
      <c r="N624" t="str">
        <f>IF('63'!$E$133="","",'63'!$E$133)</f>
        <v/>
      </c>
    </row>
    <row r="625" spans="1:14" hidden="1" x14ac:dyDescent="0.3">
      <c r="A625" t="s">
        <v>215</v>
      </c>
      <c r="B625" s="20" t="s">
        <v>1</v>
      </c>
      <c r="C625" s="11" t="s">
        <v>238</v>
      </c>
      <c r="E625" s="4" t="str">
        <f>IF(C625='63'!$B$134,"TRUE","")</f>
        <v/>
      </c>
      <c r="F625" s="17">
        <v>13</v>
      </c>
      <c r="G625" s="17">
        <v>0</v>
      </c>
      <c r="H625" s="21" t="s">
        <v>18</v>
      </c>
      <c r="J625" s="17">
        <v>63</v>
      </c>
      <c r="K625" s="17">
        <v>18</v>
      </c>
      <c r="L625" t="str">
        <f>IF('63'!$A$174="","",'63'!$A$174)</f>
        <v/>
      </c>
      <c r="M625" t="str">
        <f>IF('63'!$D$174="","",'63'!$D$174)</f>
        <v/>
      </c>
      <c r="N625" t="str">
        <f>IF('63'!$E$133="","",'63'!$E$133)</f>
        <v/>
      </c>
    </row>
    <row r="626" spans="1:14" hidden="1" x14ac:dyDescent="0.3">
      <c r="A626" t="s">
        <v>215</v>
      </c>
      <c r="B626" s="20" t="s">
        <v>1</v>
      </c>
      <c r="C626" s="11" t="s">
        <v>239</v>
      </c>
      <c r="E626" s="4" t="str">
        <f>IF(C626='63'!$B$134,"TRUE","")</f>
        <v/>
      </c>
      <c r="F626" s="17">
        <v>13</v>
      </c>
      <c r="G626" s="17">
        <v>0</v>
      </c>
      <c r="H626" s="21" t="s">
        <v>18</v>
      </c>
      <c r="J626" s="17">
        <v>63</v>
      </c>
      <c r="K626" s="17">
        <v>18</v>
      </c>
      <c r="L626" t="str">
        <f>IF('63'!$A$174="","",'63'!$A$174)</f>
        <v/>
      </c>
      <c r="M626" t="str">
        <f>IF('63'!$D$174="","",'63'!$D$174)</f>
        <v/>
      </c>
      <c r="N626" t="str">
        <f>IF('63'!$E$133="","",'63'!$E$133)</f>
        <v/>
      </c>
    </row>
    <row r="627" spans="1:14" ht="28.8" hidden="1" x14ac:dyDescent="0.3">
      <c r="A627" t="s">
        <v>215</v>
      </c>
      <c r="B627" s="20" t="s">
        <v>1</v>
      </c>
      <c r="C627" s="12" t="s">
        <v>240</v>
      </c>
      <c r="E627" s="4" t="str">
        <f>IF(C627='63'!$B$134,"TRUE","")</f>
        <v/>
      </c>
      <c r="F627" s="17">
        <v>13</v>
      </c>
      <c r="G627" s="17">
        <v>0</v>
      </c>
      <c r="H627" s="21" t="s">
        <v>18</v>
      </c>
      <c r="J627" s="17">
        <v>63</v>
      </c>
      <c r="K627" s="17">
        <v>18</v>
      </c>
      <c r="L627" t="str">
        <f>IF('63'!$A$174="","",'63'!$A$174)</f>
        <v/>
      </c>
      <c r="M627" t="str">
        <f>IF('63'!$D$174="","",'63'!$D$174)</f>
        <v/>
      </c>
      <c r="N627" t="str">
        <f>IF('63'!$E$133="","",'63'!$E$133)</f>
        <v/>
      </c>
    </row>
    <row r="628" spans="1:14" hidden="1" x14ac:dyDescent="0.3">
      <c r="A628" t="s">
        <v>216</v>
      </c>
      <c r="B628" s="20" t="s">
        <v>375</v>
      </c>
      <c r="D628">
        <v>-2</v>
      </c>
      <c r="E628" s="4" t="str">
        <f>IF(B628='63'!$B$136,"TRUE","")</f>
        <v/>
      </c>
      <c r="F628" s="17">
        <v>13</v>
      </c>
      <c r="G628" s="17">
        <v>1</v>
      </c>
      <c r="H628" s="21" t="s">
        <v>18</v>
      </c>
      <c r="J628" s="17">
        <v>63</v>
      </c>
      <c r="K628" s="17">
        <v>18</v>
      </c>
      <c r="L628" t="str">
        <f>IF('63'!$A$174="","",'63'!$A$174)</f>
        <v/>
      </c>
      <c r="M628" t="str">
        <f>IF('63'!$D$174="","",'63'!$D$174)</f>
        <v/>
      </c>
      <c r="N628" t="str">
        <f>IF('63'!$E$136="","",'63'!$E$136)</f>
        <v/>
      </c>
    </row>
    <row r="629" spans="1:14" hidden="1" x14ac:dyDescent="0.3">
      <c r="A629" t="s">
        <v>216</v>
      </c>
      <c r="B629" s="20" t="s">
        <v>1</v>
      </c>
      <c r="C629" s="11" t="s">
        <v>241</v>
      </c>
      <c r="E629" s="4" t="str">
        <f>IF(C629='63'!$B$137,"TRUE","")</f>
        <v/>
      </c>
      <c r="F629" s="17">
        <v>13</v>
      </c>
      <c r="G629" s="17">
        <v>1</v>
      </c>
      <c r="H629" s="21" t="s">
        <v>18</v>
      </c>
      <c r="J629" s="17">
        <v>63</v>
      </c>
      <c r="K629" s="17">
        <v>18</v>
      </c>
      <c r="L629" t="str">
        <f>IF('63'!$A$174="","",'63'!$A$174)</f>
        <v/>
      </c>
      <c r="M629" t="str">
        <f>IF('63'!$D$174="","",'63'!$D$174)</f>
        <v/>
      </c>
      <c r="N629" t="str">
        <f>IF('63'!$E$136="","",'63'!$E$136)</f>
        <v/>
      </c>
    </row>
    <row r="630" spans="1:14" ht="28.8" hidden="1" x14ac:dyDescent="0.3">
      <c r="A630" t="s">
        <v>216</v>
      </c>
      <c r="B630" s="20" t="s">
        <v>1</v>
      </c>
      <c r="C630" s="12" t="s">
        <v>242</v>
      </c>
      <c r="E630" s="4" t="str">
        <f>IF(C630='63'!$B$137,"TRUE","")</f>
        <v/>
      </c>
      <c r="F630" s="17">
        <v>13</v>
      </c>
      <c r="G630" s="17">
        <v>1</v>
      </c>
      <c r="H630" s="21" t="s">
        <v>18</v>
      </c>
      <c r="J630" s="17">
        <v>63</v>
      </c>
      <c r="K630" s="17">
        <v>18</v>
      </c>
      <c r="L630" t="str">
        <f>IF('63'!$A$174="","",'63'!$A$174)</f>
        <v/>
      </c>
      <c r="M630" t="str">
        <f>IF('63'!$D$174="","",'63'!$D$174)</f>
        <v/>
      </c>
      <c r="N630" t="str">
        <f>IF('63'!$E$136="","",'63'!$E$136)</f>
        <v/>
      </c>
    </row>
    <row r="631" spans="1:14" ht="28.8" hidden="1" x14ac:dyDescent="0.3">
      <c r="A631" t="s">
        <v>216</v>
      </c>
      <c r="B631" s="20" t="s">
        <v>1</v>
      </c>
      <c r="C631" s="12" t="s">
        <v>243</v>
      </c>
      <c r="E631" s="4" t="str">
        <f>IF(C631='63'!$B$137,"TRUE","")</f>
        <v/>
      </c>
      <c r="F631" s="17">
        <v>13</v>
      </c>
      <c r="G631" s="17">
        <v>1</v>
      </c>
      <c r="H631" s="21" t="s">
        <v>18</v>
      </c>
      <c r="J631" s="17">
        <v>63</v>
      </c>
      <c r="K631" s="17">
        <v>18</v>
      </c>
      <c r="L631" t="str">
        <f>IF('63'!$A$174="","",'63'!$A$174)</f>
        <v/>
      </c>
      <c r="M631" t="str">
        <f>IF('63'!$D$174="","",'63'!$D$174)</f>
        <v/>
      </c>
      <c r="N631" t="str">
        <f>IF('63'!$E$136="","",'63'!$E$136)</f>
        <v/>
      </c>
    </row>
    <row r="632" spans="1:14" hidden="1" x14ac:dyDescent="0.3">
      <c r="A632" t="s">
        <v>216</v>
      </c>
      <c r="B632" s="20" t="s">
        <v>1</v>
      </c>
      <c r="C632" s="11" t="s">
        <v>244</v>
      </c>
      <c r="E632" s="4" t="str">
        <f>IF(C632='63'!$B$137,"TRUE","")</f>
        <v/>
      </c>
      <c r="F632" s="17">
        <v>13</v>
      </c>
      <c r="G632" s="17">
        <v>1</v>
      </c>
      <c r="H632" s="21" t="s">
        <v>18</v>
      </c>
      <c r="J632" s="17">
        <v>63</v>
      </c>
      <c r="K632" s="17">
        <v>18</v>
      </c>
      <c r="L632" t="str">
        <f>IF('63'!$A$174="","",'63'!$A$174)</f>
        <v/>
      </c>
      <c r="M632" t="str">
        <f>IF('63'!$D$174="","",'63'!$D$174)</f>
        <v/>
      </c>
      <c r="N632" t="str">
        <f>IF('63'!$E$136="","",'63'!$E$136)</f>
        <v/>
      </c>
    </row>
    <row r="633" spans="1:14" hidden="1" x14ac:dyDescent="0.3">
      <c r="A633" t="s">
        <v>216</v>
      </c>
      <c r="B633" s="20" t="s">
        <v>1</v>
      </c>
      <c r="C633" s="11" t="s">
        <v>245</v>
      </c>
      <c r="E633" s="4" t="str">
        <f>IF(C633='63'!$B$137,"TRUE","")</f>
        <v/>
      </c>
      <c r="F633" s="17">
        <v>13</v>
      </c>
      <c r="G633" s="17">
        <v>1</v>
      </c>
      <c r="H633" s="21" t="s">
        <v>18</v>
      </c>
      <c r="J633" s="17">
        <v>63</v>
      </c>
      <c r="K633" s="17">
        <v>18</v>
      </c>
      <c r="L633" t="str">
        <f>IF('63'!$A$174="","",'63'!$A$174)</f>
        <v/>
      </c>
      <c r="M633" t="str">
        <f>IF('63'!$D$174="","",'63'!$D$174)</f>
        <v/>
      </c>
      <c r="N633" t="str">
        <f>IF('63'!$E$136="","",'63'!$E$136)</f>
        <v/>
      </c>
    </row>
    <row r="634" spans="1:14" hidden="1" x14ac:dyDescent="0.3">
      <c r="A634" t="s">
        <v>217</v>
      </c>
      <c r="B634" s="20" t="s">
        <v>375</v>
      </c>
      <c r="D634">
        <v>-2</v>
      </c>
      <c r="E634" s="4" t="str">
        <f>IF(B634='63'!$B$139,"TRUE","")</f>
        <v/>
      </c>
      <c r="F634" s="17">
        <v>13</v>
      </c>
      <c r="G634" s="17">
        <v>2</v>
      </c>
      <c r="H634" s="21" t="s">
        <v>18</v>
      </c>
      <c r="J634" s="17">
        <v>63</v>
      </c>
      <c r="K634" s="17">
        <v>18</v>
      </c>
      <c r="L634" t="str">
        <f>IF('63'!$A$174="","",'63'!$A$174)</f>
        <v/>
      </c>
      <c r="M634" t="str">
        <f>IF('63'!$D$174="","",'63'!$D$174)</f>
        <v/>
      </c>
      <c r="N634" t="str">
        <f>IF('63'!$E$139="","",'63'!$E$139)</f>
        <v/>
      </c>
    </row>
    <row r="635" spans="1:14" hidden="1" x14ac:dyDescent="0.3">
      <c r="A635" t="s">
        <v>217</v>
      </c>
      <c r="B635" s="20" t="s">
        <v>1</v>
      </c>
      <c r="C635" s="11" t="s">
        <v>246</v>
      </c>
      <c r="E635" s="4" t="str">
        <f>IF(C635='63'!$B$140,"TRUE","")</f>
        <v/>
      </c>
      <c r="F635" s="17">
        <v>13</v>
      </c>
      <c r="G635" s="17">
        <v>2</v>
      </c>
      <c r="H635" s="21" t="s">
        <v>18</v>
      </c>
      <c r="J635" s="17">
        <v>63</v>
      </c>
      <c r="K635" s="17">
        <v>18</v>
      </c>
      <c r="L635" t="str">
        <f>IF('63'!$A$174="","",'63'!$A$174)</f>
        <v/>
      </c>
      <c r="M635" t="str">
        <f>IF('63'!$D$174="","",'63'!$D$174)</f>
        <v/>
      </c>
      <c r="N635" t="str">
        <f>IF('63'!$E$139="","",'63'!$E$139)</f>
        <v/>
      </c>
    </row>
    <row r="636" spans="1:14" hidden="1" x14ac:dyDescent="0.3">
      <c r="A636" t="s">
        <v>217</v>
      </c>
      <c r="B636" s="20" t="s">
        <v>1</v>
      </c>
      <c r="C636" s="11" t="s">
        <v>247</v>
      </c>
      <c r="E636" s="4" t="str">
        <f>IF(C636='63'!$B$140,"TRUE","")</f>
        <v/>
      </c>
      <c r="F636" s="17">
        <v>13</v>
      </c>
      <c r="G636" s="17">
        <v>2</v>
      </c>
      <c r="H636" s="21" t="s">
        <v>18</v>
      </c>
      <c r="J636" s="17">
        <v>63</v>
      </c>
      <c r="K636" s="17">
        <v>18</v>
      </c>
      <c r="L636" t="str">
        <f>IF('63'!$A$174="","",'63'!$A$174)</f>
        <v/>
      </c>
      <c r="M636" t="str">
        <f>IF('63'!$D$174="","",'63'!$D$174)</f>
        <v/>
      </c>
      <c r="N636" t="str">
        <f>IF('63'!$E$139="","",'63'!$E$139)</f>
        <v/>
      </c>
    </row>
    <row r="637" spans="1:14" hidden="1" x14ac:dyDescent="0.3">
      <c r="A637" t="s">
        <v>217</v>
      </c>
      <c r="B637" s="20" t="s">
        <v>1</v>
      </c>
      <c r="C637" s="12" t="s">
        <v>248</v>
      </c>
      <c r="E637" s="4" t="str">
        <f>IF(C637='63'!$B$140,"TRUE","")</f>
        <v/>
      </c>
      <c r="F637" s="17">
        <v>13</v>
      </c>
      <c r="G637" s="17">
        <v>2</v>
      </c>
      <c r="H637" s="21" t="s">
        <v>18</v>
      </c>
      <c r="J637" s="17">
        <v>63</v>
      </c>
      <c r="K637" s="17">
        <v>18</v>
      </c>
      <c r="L637" t="str">
        <f>IF('63'!$A$174="","",'63'!$A$174)</f>
        <v/>
      </c>
      <c r="M637" t="str">
        <f>IF('63'!$D$174="","",'63'!$D$174)</f>
        <v/>
      </c>
      <c r="N637" t="str">
        <f>IF('63'!$E$139="","",'63'!$E$139)</f>
        <v/>
      </c>
    </row>
    <row r="638" spans="1:14" hidden="1" x14ac:dyDescent="0.3">
      <c r="A638" t="s">
        <v>217</v>
      </c>
      <c r="B638" s="20" t="s">
        <v>1</v>
      </c>
      <c r="C638" s="12" t="s">
        <v>249</v>
      </c>
      <c r="E638" s="4" t="str">
        <f>IF(C638='63'!$B$140,"TRUE","")</f>
        <v/>
      </c>
      <c r="F638" s="17">
        <v>13</v>
      </c>
      <c r="G638" s="17">
        <v>2</v>
      </c>
      <c r="H638" s="21" t="s">
        <v>18</v>
      </c>
      <c r="J638" s="17">
        <v>63</v>
      </c>
      <c r="K638" s="17">
        <v>18</v>
      </c>
      <c r="L638" t="str">
        <f>IF('63'!$A$174="","",'63'!$A$174)</f>
        <v/>
      </c>
      <c r="M638" t="str">
        <f>IF('63'!$D$174="","",'63'!$D$174)</f>
        <v/>
      </c>
      <c r="N638" t="str">
        <f>IF('63'!$E$139="","",'63'!$E$139)</f>
        <v/>
      </c>
    </row>
    <row r="639" spans="1:14" hidden="1" x14ac:dyDescent="0.3">
      <c r="A639" t="s">
        <v>217</v>
      </c>
      <c r="B639" s="20" t="s">
        <v>1</v>
      </c>
      <c r="C639" s="12" t="s">
        <v>250</v>
      </c>
      <c r="E639" s="4" t="str">
        <f>IF(C639='63'!$B$140,"TRUE","")</f>
        <v/>
      </c>
      <c r="F639" s="17">
        <v>13</v>
      </c>
      <c r="G639" s="17">
        <v>2</v>
      </c>
      <c r="H639" s="21" t="s">
        <v>18</v>
      </c>
      <c r="J639" s="17">
        <v>63</v>
      </c>
      <c r="K639" s="17">
        <v>18</v>
      </c>
      <c r="L639" t="str">
        <f>IF('63'!$A$174="","",'63'!$A$174)</f>
        <v/>
      </c>
      <c r="M639" t="str">
        <f>IF('63'!$D$174="","",'63'!$D$174)</f>
        <v/>
      </c>
      <c r="N639" t="str">
        <f>IF('63'!$E$139="","",'63'!$E$139)</f>
        <v/>
      </c>
    </row>
    <row r="640" spans="1:14" ht="28.8" hidden="1" x14ac:dyDescent="0.3">
      <c r="A640" t="s">
        <v>217</v>
      </c>
      <c r="B640" s="20" t="s">
        <v>1</v>
      </c>
      <c r="C640" s="12" t="s">
        <v>251</v>
      </c>
      <c r="E640" s="4" t="str">
        <f>IF(C640='63'!$B$140,"TRUE","")</f>
        <v/>
      </c>
      <c r="F640" s="17">
        <v>13</v>
      </c>
      <c r="G640" s="17">
        <v>2</v>
      </c>
      <c r="H640" s="21" t="s">
        <v>18</v>
      </c>
      <c r="J640" s="17">
        <v>63</v>
      </c>
      <c r="K640" s="17">
        <v>18</v>
      </c>
      <c r="L640" t="str">
        <f>IF('63'!$A$174="","",'63'!$A$174)</f>
        <v/>
      </c>
      <c r="M640" t="str">
        <f>IF('63'!$D$174="","",'63'!$D$174)</f>
        <v/>
      </c>
      <c r="N640" t="str">
        <f>IF('63'!$E$139="","",'63'!$E$139)</f>
        <v/>
      </c>
    </row>
    <row r="641" spans="1:14" hidden="1" x14ac:dyDescent="0.3">
      <c r="A641" t="s">
        <v>215</v>
      </c>
      <c r="B641" s="20" t="s">
        <v>375</v>
      </c>
      <c r="D641">
        <v>-2</v>
      </c>
      <c r="E641" s="4" t="str">
        <f>IF(B641='63'!$B$143,"TRUE","")</f>
        <v/>
      </c>
      <c r="F641" s="17">
        <v>14</v>
      </c>
      <c r="G641" s="17">
        <v>0</v>
      </c>
      <c r="H641" s="21" t="s">
        <v>18</v>
      </c>
      <c r="J641" s="17">
        <v>63</v>
      </c>
      <c r="K641" s="17">
        <v>18</v>
      </c>
      <c r="L641" t="str">
        <f>IF('63'!$A$174="","",'63'!$A$174)</f>
        <v/>
      </c>
      <c r="M641" t="str">
        <f>IF('63'!$D$174="","",'63'!$D$174)</f>
        <v/>
      </c>
      <c r="N641" t="str">
        <f>IF('63'!$E$143="","",'63'!$E$143)</f>
        <v/>
      </c>
    </row>
    <row r="642" spans="1:14" hidden="1" x14ac:dyDescent="0.3">
      <c r="A642" t="s">
        <v>215</v>
      </c>
      <c r="B642" s="20" t="s">
        <v>1</v>
      </c>
      <c r="C642" s="11" t="s">
        <v>236</v>
      </c>
      <c r="E642" s="4" t="str">
        <f>IF(C642='63'!$B$144,"TRUE","")</f>
        <v/>
      </c>
      <c r="F642" s="17">
        <v>14</v>
      </c>
      <c r="G642" s="17">
        <v>0</v>
      </c>
      <c r="H642" s="21" t="s">
        <v>18</v>
      </c>
      <c r="J642" s="17">
        <v>63</v>
      </c>
      <c r="K642" s="17">
        <v>18</v>
      </c>
      <c r="L642" t="str">
        <f>IF('63'!$A$174="","",'63'!$A$174)</f>
        <v/>
      </c>
      <c r="M642" t="str">
        <f>IF('63'!$D$174="","",'63'!$D$174)</f>
        <v/>
      </c>
      <c r="N642" t="str">
        <f>IF('63'!$E$143="","",'63'!$E$143)</f>
        <v/>
      </c>
    </row>
    <row r="643" spans="1:14" hidden="1" x14ac:dyDescent="0.3">
      <c r="A643" t="s">
        <v>215</v>
      </c>
      <c r="B643" s="20" t="s">
        <v>1</v>
      </c>
      <c r="C643" s="11" t="s">
        <v>237</v>
      </c>
      <c r="E643" s="4" t="str">
        <f>IF(C643='63'!$B$144,"TRUE","")</f>
        <v/>
      </c>
      <c r="F643" s="17">
        <v>14</v>
      </c>
      <c r="G643" s="17">
        <v>0</v>
      </c>
      <c r="H643" s="21" t="s">
        <v>18</v>
      </c>
      <c r="J643" s="17">
        <v>63</v>
      </c>
      <c r="K643" s="17">
        <v>18</v>
      </c>
      <c r="L643" t="str">
        <f>IF('63'!$A$174="","",'63'!$A$174)</f>
        <v/>
      </c>
      <c r="M643" t="str">
        <f>IF('63'!$D$174="","",'63'!$D$174)</f>
        <v/>
      </c>
      <c r="N643" t="str">
        <f>IF('63'!$E$143="","",'63'!$E$143)</f>
        <v/>
      </c>
    </row>
    <row r="644" spans="1:14" hidden="1" x14ac:dyDescent="0.3">
      <c r="A644" t="s">
        <v>215</v>
      </c>
      <c r="B644" s="20" t="s">
        <v>1</v>
      </c>
      <c r="C644" s="11" t="s">
        <v>238</v>
      </c>
      <c r="E644" s="4" t="str">
        <f>IF(C644='63'!$B$144,"TRUE","")</f>
        <v/>
      </c>
      <c r="F644" s="17">
        <v>14</v>
      </c>
      <c r="G644" s="17">
        <v>0</v>
      </c>
      <c r="H644" s="21" t="s">
        <v>18</v>
      </c>
      <c r="J644" s="17">
        <v>63</v>
      </c>
      <c r="K644" s="17">
        <v>18</v>
      </c>
      <c r="L644" t="str">
        <f>IF('63'!$A$174="","",'63'!$A$174)</f>
        <v/>
      </c>
      <c r="M644" t="str">
        <f>IF('63'!$D$174="","",'63'!$D$174)</f>
        <v/>
      </c>
      <c r="N644" t="str">
        <f>IF('63'!$E$143="","",'63'!$E$143)</f>
        <v/>
      </c>
    </row>
    <row r="645" spans="1:14" hidden="1" x14ac:dyDescent="0.3">
      <c r="A645" t="s">
        <v>215</v>
      </c>
      <c r="B645" s="20" t="s">
        <v>1</v>
      </c>
      <c r="C645" s="11" t="s">
        <v>239</v>
      </c>
      <c r="E645" s="4" t="str">
        <f>IF(C645='63'!$B$144,"TRUE","")</f>
        <v/>
      </c>
      <c r="F645" s="17">
        <v>14</v>
      </c>
      <c r="G645" s="17">
        <v>0</v>
      </c>
      <c r="H645" s="21" t="s">
        <v>18</v>
      </c>
      <c r="J645" s="17">
        <v>63</v>
      </c>
      <c r="K645" s="17">
        <v>18</v>
      </c>
      <c r="L645" t="str">
        <f>IF('63'!$A$174="","",'63'!$A$174)</f>
        <v/>
      </c>
      <c r="M645" t="str">
        <f>IF('63'!$D$174="","",'63'!$D$174)</f>
        <v/>
      </c>
      <c r="N645" t="str">
        <f>IF('63'!$E$143="","",'63'!$E$143)</f>
        <v/>
      </c>
    </row>
    <row r="646" spans="1:14" ht="28.8" hidden="1" x14ac:dyDescent="0.3">
      <c r="A646" t="s">
        <v>215</v>
      </c>
      <c r="B646" s="20" t="s">
        <v>1</v>
      </c>
      <c r="C646" s="12" t="s">
        <v>240</v>
      </c>
      <c r="E646" s="4" t="str">
        <f>IF(C646='63'!$B$144,"TRUE","")</f>
        <v/>
      </c>
      <c r="F646" s="17">
        <v>14</v>
      </c>
      <c r="G646" s="17">
        <v>0</v>
      </c>
      <c r="H646" s="21" t="s">
        <v>18</v>
      </c>
      <c r="J646" s="17">
        <v>63</v>
      </c>
      <c r="K646" s="17">
        <v>18</v>
      </c>
      <c r="L646" t="str">
        <f>IF('63'!$A$174="","",'63'!$A$174)</f>
        <v/>
      </c>
      <c r="M646" t="str">
        <f>IF('63'!$D$174="","",'63'!$D$174)</f>
        <v/>
      </c>
      <c r="N646" t="str">
        <f>IF('63'!$E$143="","",'63'!$E$143)</f>
        <v/>
      </c>
    </row>
    <row r="647" spans="1:14" hidden="1" x14ac:dyDescent="0.3">
      <c r="A647" t="s">
        <v>216</v>
      </c>
      <c r="B647" s="20" t="s">
        <v>375</v>
      </c>
      <c r="D647">
        <v>-2</v>
      </c>
      <c r="E647" s="4" t="str">
        <f>IF(B647='63'!$B$146,"TRUE","")</f>
        <v/>
      </c>
      <c r="F647" s="17">
        <v>14</v>
      </c>
      <c r="G647" s="17">
        <v>1</v>
      </c>
      <c r="H647" s="21" t="s">
        <v>18</v>
      </c>
      <c r="J647" s="17">
        <v>63</v>
      </c>
      <c r="K647" s="17">
        <v>18</v>
      </c>
      <c r="L647" t="str">
        <f>IF('63'!$A$174="","",'63'!$A$174)</f>
        <v/>
      </c>
      <c r="M647" t="str">
        <f>IF('63'!$D$174="","",'63'!$D$174)</f>
        <v/>
      </c>
      <c r="N647" t="str">
        <f>IF('63'!$E$146="","",'63'!$E$146)</f>
        <v/>
      </c>
    </row>
    <row r="648" spans="1:14" hidden="1" x14ac:dyDescent="0.3">
      <c r="A648" t="s">
        <v>216</v>
      </c>
      <c r="B648" s="20" t="s">
        <v>1</v>
      </c>
      <c r="C648" s="11" t="s">
        <v>241</v>
      </c>
      <c r="E648" s="4" t="str">
        <f>IF(C648='63'!$B$147,"TRUE","")</f>
        <v/>
      </c>
      <c r="F648" s="17">
        <v>14</v>
      </c>
      <c r="G648" s="17">
        <v>1</v>
      </c>
      <c r="H648" s="21" t="s">
        <v>18</v>
      </c>
      <c r="J648" s="17">
        <v>63</v>
      </c>
      <c r="K648" s="17">
        <v>18</v>
      </c>
      <c r="L648" t="str">
        <f>IF('63'!$A$174="","",'63'!$A$174)</f>
        <v/>
      </c>
      <c r="M648" t="str">
        <f>IF('63'!$D$174="","",'63'!$D$174)</f>
        <v/>
      </c>
      <c r="N648" t="str">
        <f>IF('63'!$E$146="","",'63'!$E$146)</f>
        <v/>
      </c>
    </row>
    <row r="649" spans="1:14" ht="28.8" hidden="1" x14ac:dyDescent="0.3">
      <c r="A649" t="s">
        <v>216</v>
      </c>
      <c r="B649" s="20" t="s">
        <v>1</v>
      </c>
      <c r="C649" s="12" t="s">
        <v>242</v>
      </c>
      <c r="E649" s="4" t="str">
        <f>IF(C649='63'!$B$147,"TRUE","")</f>
        <v/>
      </c>
      <c r="F649" s="17">
        <v>14</v>
      </c>
      <c r="G649" s="17">
        <v>1</v>
      </c>
      <c r="H649" s="21" t="s">
        <v>18</v>
      </c>
      <c r="J649" s="17">
        <v>63</v>
      </c>
      <c r="K649" s="17">
        <v>18</v>
      </c>
      <c r="L649" t="str">
        <f>IF('63'!$A$174="","",'63'!$A$174)</f>
        <v/>
      </c>
      <c r="M649" t="str">
        <f>IF('63'!$D$174="","",'63'!$D$174)</f>
        <v/>
      </c>
      <c r="N649" t="str">
        <f>IF('63'!$E$146="","",'63'!$E$146)</f>
        <v/>
      </c>
    </row>
    <row r="650" spans="1:14" ht="28.8" hidden="1" x14ac:dyDescent="0.3">
      <c r="A650" t="s">
        <v>216</v>
      </c>
      <c r="B650" s="20" t="s">
        <v>1</v>
      </c>
      <c r="C650" s="12" t="s">
        <v>243</v>
      </c>
      <c r="E650" s="4" t="str">
        <f>IF(C650='63'!$B$147,"TRUE","")</f>
        <v/>
      </c>
      <c r="F650" s="17">
        <v>14</v>
      </c>
      <c r="G650" s="17">
        <v>1</v>
      </c>
      <c r="H650" s="21" t="s">
        <v>18</v>
      </c>
      <c r="J650" s="17">
        <v>63</v>
      </c>
      <c r="K650" s="17">
        <v>18</v>
      </c>
      <c r="L650" t="str">
        <f>IF('63'!$A$174="","",'63'!$A$174)</f>
        <v/>
      </c>
      <c r="M650" t="str">
        <f>IF('63'!$D$174="","",'63'!$D$174)</f>
        <v/>
      </c>
      <c r="N650" t="str">
        <f>IF('63'!$E$146="","",'63'!$E$146)</f>
        <v/>
      </c>
    </row>
    <row r="651" spans="1:14" hidden="1" x14ac:dyDescent="0.3">
      <c r="A651" t="s">
        <v>216</v>
      </c>
      <c r="B651" s="20" t="s">
        <v>1</v>
      </c>
      <c r="C651" s="11" t="s">
        <v>244</v>
      </c>
      <c r="E651" s="4" t="str">
        <f>IF(C651='63'!$B$147,"TRUE","")</f>
        <v/>
      </c>
      <c r="F651" s="17">
        <v>14</v>
      </c>
      <c r="G651" s="17">
        <v>1</v>
      </c>
      <c r="H651" s="21" t="s">
        <v>18</v>
      </c>
      <c r="J651" s="17">
        <v>63</v>
      </c>
      <c r="K651" s="17">
        <v>18</v>
      </c>
      <c r="L651" t="str">
        <f>IF('63'!$A$174="","",'63'!$A$174)</f>
        <v/>
      </c>
      <c r="M651" t="str">
        <f>IF('63'!$D$174="","",'63'!$D$174)</f>
        <v/>
      </c>
      <c r="N651" t="str">
        <f>IF('63'!$E$146="","",'63'!$E$146)</f>
        <v/>
      </c>
    </row>
    <row r="652" spans="1:14" hidden="1" x14ac:dyDescent="0.3">
      <c r="A652" t="s">
        <v>216</v>
      </c>
      <c r="B652" s="20" t="s">
        <v>1</v>
      </c>
      <c r="C652" s="11" t="s">
        <v>245</v>
      </c>
      <c r="E652" s="4" t="str">
        <f>IF(C652='63'!$B$147,"TRUE","")</f>
        <v/>
      </c>
      <c r="F652" s="17">
        <v>14</v>
      </c>
      <c r="G652" s="17">
        <v>1</v>
      </c>
      <c r="H652" s="21" t="s">
        <v>18</v>
      </c>
      <c r="J652" s="17">
        <v>63</v>
      </c>
      <c r="K652" s="17">
        <v>18</v>
      </c>
      <c r="L652" t="str">
        <f>IF('63'!$A$174="","",'63'!$A$174)</f>
        <v/>
      </c>
      <c r="M652" t="str">
        <f>IF('63'!$D$174="","",'63'!$D$174)</f>
        <v/>
      </c>
      <c r="N652" t="str">
        <f>IF('63'!$E$146="","",'63'!$E$146)</f>
        <v/>
      </c>
    </row>
    <row r="653" spans="1:14" hidden="1" x14ac:dyDescent="0.3">
      <c r="A653" t="s">
        <v>217</v>
      </c>
      <c r="B653" s="20" t="s">
        <v>375</v>
      </c>
      <c r="D653">
        <v>-2</v>
      </c>
      <c r="E653" s="4" t="str">
        <f>IF(B653='63'!$B$149,"TRUE","")</f>
        <v/>
      </c>
      <c r="F653" s="17">
        <v>14</v>
      </c>
      <c r="G653" s="17">
        <v>2</v>
      </c>
      <c r="H653" s="21" t="s">
        <v>18</v>
      </c>
      <c r="J653" s="17">
        <v>63</v>
      </c>
      <c r="K653" s="17">
        <v>18</v>
      </c>
      <c r="L653" t="str">
        <f>IF('63'!$A$174="","",'63'!$A$174)</f>
        <v/>
      </c>
      <c r="M653" t="str">
        <f>IF('63'!$D$174="","",'63'!$D$174)</f>
        <v/>
      </c>
      <c r="N653" t="str">
        <f>IF('63'!$E$149="","",'63'!$E$149)</f>
        <v/>
      </c>
    </row>
    <row r="654" spans="1:14" hidden="1" x14ac:dyDescent="0.3">
      <c r="A654" t="s">
        <v>217</v>
      </c>
      <c r="B654" s="20" t="s">
        <v>1</v>
      </c>
      <c r="C654" s="11" t="s">
        <v>246</v>
      </c>
      <c r="E654" s="4" t="str">
        <f>IF(C654='63'!$B$150,"TRUE","")</f>
        <v/>
      </c>
      <c r="F654" s="17">
        <v>14</v>
      </c>
      <c r="G654" s="17">
        <v>2</v>
      </c>
      <c r="H654" s="21" t="s">
        <v>18</v>
      </c>
      <c r="J654" s="17">
        <v>63</v>
      </c>
      <c r="K654" s="17">
        <v>18</v>
      </c>
      <c r="L654" t="str">
        <f>IF('63'!$A$174="","",'63'!$A$174)</f>
        <v/>
      </c>
      <c r="M654" t="str">
        <f>IF('63'!$D$174="","",'63'!$D$174)</f>
        <v/>
      </c>
      <c r="N654" t="str">
        <f>IF('63'!$E$149="","",'63'!$E$149)</f>
        <v/>
      </c>
    </row>
    <row r="655" spans="1:14" hidden="1" x14ac:dyDescent="0.3">
      <c r="A655" t="s">
        <v>217</v>
      </c>
      <c r="B655" s="20" t="s">
        <v>1</v>
      </c>
      <c r="C655" s="11" t="s">
        <v>247</v>
      </c>
      <c r="E655" s="4" t="str">
        <f>IF(C655='63'!$B$150,"TRUE","")</f>
        <v/>
      </c>
      <c r="F655" s="17">
        <v>14</v>
      </c>
      <c r="G655" s="17">
        <v>2</v>
      </c>
      <c r="H655" s="21" t="s">
        <v>18</v>
      </c>
      <c r="J655" s="17">
        <v>63</v>
      </c>
      <c r="K655" s="17">
        <v>18</v>
      </c>
      <c r="L655" t="str">
        <f>IF('63'!$A$174="","",'63'!$A$174)</f>
        <v/>
      </c>
      <c r="M655" t="str">
        <f>IF('63'!$D$174="","",'63'!$D$174)</f>
        <v/>
      </c>
      <c r="N655" t="str">
        <f>IF('63'!$E$149="","",'63'!$E$149)</f>
        <v/>
      </c>
    </row>
    <row r="656" spans="1:14" hidden="1" x14ac:dyDescent="0.3">
      <c r="A656" t="s">
        <v>217</v>
      </c>
      <c r="B656" s="20" t="s">
        <v>1</v>
      </c>
      <c r="C656" s="12" t="s">
        <v>248</v>
      </c>
      <c r="E656" s="4" t="str">
        <f>IF(C656='63'!$B$150,"TRUE","")</f>
        <v/>
      </c>
      <c r="F656" s="17">
        <v>14</v>
      </c>
      <c r="G656" s="17">
        <v>2</v>
      </c>
      <c r="H656" s="21" t="s">
        <v>18</v>
      </c>
      <c r="J656" s="17">
        <v>63</v>
      </c>
      <c r="K656" s="17">
        <v>18</v>
      </c>
      <c r="L656" t="str">
        <f>IF('63'!$A$174="","",'63'!$A$174)</f>
        <v/>
      </c>
      <c r="M656" t="str">
        <f>IF('63'!$D$174="","",'63'!$D$174)</f>
        <v/>
      </c>
      <c r="N656" t="str">
        <f>IF('63'!$E$149="","",'63'!$E$149)</f>
        <v/>
      </c>
    </row>
    <row r="657" spans="1:14" hidden="1" x14ac:dyDescent="0.3">
      <c r="A657" t="s">
        <v>217</v>
      </c>
      <c r="B657" s="20" t="s">
        <v>1</v>
      </c>
      <c r="C657" s="12" t="s">
        <v>249</v>
      </c>
      <c r="E657" s="4" t="str">
        <f>IF(C657='63'!$B$150,"TRUE","")</f>
        <v/>
      </c>
      <c r="F657" s="17">
        <v>14</v>
      </c>
      <c r="G657" s="17">
        <v>2</v>
      </c>
      <c r="H657" s="21" t="s">
        <v>18</v>
      </c>
      <c r="J657" s="17">
        <v>63</v>
      </c>
      <c r="K657" s="17">
        <v>18</v>
      </c>
      <c r="L657" t="str">
        <f>IF('63'!$A$174="","",'63'!$A$174)</f>
        <v/>
      </c>
      <c r="M657" t="str">
        <f>IF('63'!$D$174="","",'63'!$D$174)</f>
        <v/>
      </c>
      <c r="N657" t="str">
        <f>IF('63'!$E$149="","",'63'!$E$149)</f>
        <v/>
      </c>
    </row>
    <row r="658" spans="1:14" hidden="1" x14ac:dyDescent="0.3">
      <c r="A658" t="s">
        <v>217</v>
      </c>
      <c r="B658" s="20" t="s">
        <v>1</v>
      </c>
      <c r="C658" s="12" t="s">
        <v>250</v>
      </c>
      <c r="E658" s="4" t="str">
        <f>IF(C658='63'!$B$150,"TRUE","")</f>
        <v/>
      </c>
      <c r="F658" s="17">
        <v>14</v>
      </c>
      <c r="G658" s="17">
        <v>2</v>
      </c>
      <c r="H658" s="21" t="s">
        <v>18</v>
      </c>
      <c r="J658" s="17">
        <v>63</v>
      </c>
      <c r="K658" s="17">
        <v>18</v>
      </c>
      <c r="L658" t="str">
        <f>IF('63'!$A$174="","",'63'!$A$174)</f>
        <v/>
      </c>
      <c r="M658" t="str">
        <f>IF('63'!$D$174="","",'63'!$D$174)</f>
        <v/>
      </c>
      <c r="N658" t="str">
        <f>IF('63'!$E$149="","",'63'!$E$149)</f>
        <v/>
      </c>
    </row>
    <row r="659" spans="1:14" ht="28.8" hidden="1" x14ac:dyDescent="0.3">
      <c r="A659" t="s">
        <v>217</v>
      </c>
      <c r="B659" s="20" t="s">
        <v>1</v>
      </c>
      <c r="C659" s="12" t="s">
        <v>251</v>
      </c>
      <c r="E659" s="4" t="str">
        <f>IF(C659='63'!$B$150,"TRUE","")</f>
        <v/>
      </c>
      <c r="F659" s="17">
        <v>14</v>
      </c>
      <c r="G659" s="17">
        <v>2</v>
      </c>
      <c r="H659" s="21" t="s">
        <v>18</v>
      </c>
      <c r="J659" s="17">
        <v>63</v>
      </c>
      <c r="K659" s="17">
        <v>18</v>
      </c>
      <c r="L659" t="str">
        <f>IF('63'!$A$174="","",'63'!$A$174)</f>
        <v/>
      </c>
      <c r="M659" t="str">
        <f>IF('63'!$D$174="","",'63'!$D$174)</f>
        <v/>
      </c>
      <c r="N659" t="str">
        <f>IF('63'!$E$149="","",'63'!$E$149)</f>
        <v/>
      </c>
    </row>
    <row r="660" spans="1:14" hidden="1" x14ac:dyDescent="0.3">
      <c r="A660" t="s">
        <v>215</v>
      </c>
      <c r="B660" s="20" t="s">
        <v>375</v>
      </c>
      <c r="D660">
        <v>-2</v>
      </c>
      <c r="E660" s="4" t="str">
        <f>IF(B660='63'!$B$153,"TRUE","")</f>
        <v/>
      </c>
      <c r="F660" s="17">
        <v>15</v>
      </c>
      <c r="G660" s="17">
        <v>0</v>
      </c>
      <c r="H660" s="21" t="s">
        <v>18</v>
      </c>
      <c r="J660" s="17">
        <v>63</v>
      </c>
      <c r="K660" s="17">
        <v>18</v>
      </c>
      <c r="L660" t="str">
        <f>IF('63'!$A$174="","",'63'!$A$174)</f>
        <v/>
      </c>
      <c r="M660" t="str">
        <f>IF('63'!$D$174="","",'63'!$D$174)</f>
        <v/>
      </c>
      <c r="N660" t="str">
        <f>IF('63'!$E$153="","",'63'!$E$153)</f>
        <v/>
      </c>
    </row>
    <row r="661" spans="1:14" hidden="1" x14ac:dyDescent="0.3">
      <c r="A661" t="s">
        <v>215</v>
      </c>
      <c r="B661" s="20" t="s">
        <v>1</v>
      </c>
      <c r="C661" s="11" t="s">
        <v>236</v>
      </c>
      <c r="E661" s="4" t="str">
        <f>IF(C661='63'!$B$154,"TRUE","")</f>
        <v/>
      </c>
      <c r="F661" s="17">
        <v>15</v>
      </c>
      <c r="G661" s="17">
        <v>0</v>
      </c>
      <c r="H661" s="21" t="s">
        <v>18</v>
      </c>
      <c r="J661" s="17">
        <v>63</v>
      </c>
      <c r="K661" s="17">
        <v>18</v>
      </c>
      <c r="L661" t="str">
        <f>IF('63'!$A$174="","",'63'!$A$174)</f>
        <v/>
      </c>
      <c r="M661" t="str">
        <f>IF('63'!$D$174="","",'63'!$D$174)</f>
        <v/>
      </c>
      <c r="N661" t="str">
        <f>IF('63'!$E$153="","",'63'!$E$153)</f>
        <v/>
      </c>
    </row>
    <row r="662" spans="1:14" hidden="1" x14ac:dyDescent="0.3">
      <c r="A662" t="s">
        <v>215</v>
      </c>
      <c r="B662" s="20" t="s">
        <v>1</v>
      </c>
      <c r="C662" s="11" t="s">
        <v>237</v>
      </c>
      <c r="E662" s="4" t="str">
        <f>IF(C662='63'!$B$154,"TRUE","")</f>
        <v/>
      </c>
      <c r="F662" s="17">
        <v>15</v>
      </c>
      <c r="G662" s="17">
        <v>0</v>
      </c>
      <c r="H662" s="21" t="s">
        <v>18</v>
      </c>
      <c r="J662" s="17">
        <v>63</v>
      </c>
      <c r="K662" s="17">
        <v>18</v>
      </c>
      <c r="L662" t="str">
        <f>IF('63'!$A$174="","",'63'!$A$174)</f>
        <v/>
      </c>
      <c r="M662" t="str">
        <f>IF('63'!$D$174="","",'63'!$D$174)</f>
        <v/>
      </c>
      <c r="N662" t="str">
        <f>IF('63'!$E$153="","",'63'!$E$153)</f>
        <v/>
      </c>
    </row>
    <row r="663" spans="1:14" hidden="1" x14ac:dyDescent="0.3">
      <c r="A663" t="s">
        <v>215</v>
      </c>
      <c r="B663" s="20" t="s">
        <v>1</v>
      </c>
      <c r="C663" s="11" t="s">
        <v>238</v>
      </c>
      <c r="E663" s="4" t="str">
        <f>IF(C663='63'!$B$154,"TRUE","")</f>
        <v/>
      </c>
      <c r="F663" s="17">
        <v>15</v>
      </c>
      <c r="G663" s="17">
        <v>0</v>
      </c>
      <c r="H663" s="21" t="s">
        <v>18</v>
      </c>
      <c r="J663" s="17">
        <v>63</v>
      </c>
      <c r="K663" s="17">
        <v>18</v>
      </c>
      <c r="L663" t="str">
        <f>IF('63'!$A$174="","",'63'!$A$174)</f>
        <v/>
      </c>
      <c r="M663" t="str">
        <f>IF('63'!$D$174="","",'63'!$D$174)</f>
        <v/>
      </c>
      <c r="N663" t="str">
        <f>IF('63'!$E$153="","",'63'!$E$153)</f>
        <v/>
      </c>
    </row>
    <row r="664" spans="1:14" hidden="1" x14ac:dyDescent="0.3">
      <c r="A664" t="s">
        <v>215</v>
      </c>
      <c r="B664" s="20" t="s">
        <v>1</v>
      </c>
      <c r="C664" s="11" t="s">
        <v>239</v>
      </c>
      <c r="E664" s="4" t="str">
        <f>IF(C664='63'!$B$154,"TRUE","")</f>
        <v/>
      </c>
      <c r="F664" s="17">
        <v>15</v>
      </c>
      <c r="G664" s="17">
        <v>0</v>
      </c>
      <c r="H664" s="21" t="s">
        <v>18</v>
      </c>
      <c r="J664" s="17">
        <v>63</v>
      </c>
      <c r="K664" s="17">
        <v>18</v>
      </c>
      <c r="L664" t="str">
        <f>IF('63'!$A$174="","",'63'!$A$174)</f>
        <v/>
      </c>
      <c r="M664" t="str">
        <f>IF('63'!$D$174="","",'63'!$D$174)</f>
        <v/>
      </c>
      <c r="N664" t="str">
        <f>IF('63'!$E$153="","",'63'!$E$153)</f>
        <v/>
      </c>
    </row>
    <row r="665" spans="1:14" ht="28.8" hidden="1" x14ac:dyDescent="0.3">
      <c r="A665" t="s">
        <v>215</v>
      </c>
      <c r="B665" s="20" t="s">
        <v>1</v>
      </c>
      <c r="C665" s="12" t="s">
        <v>240</v>
      </c>
      <c r="E665" s="4" t="str">
        <f>IF(C665='63'!$B$154,"TRUE","")</f>
        <v/>
      </c>
      <c r="F665" s="17">
        <v>15</v>
      </c>
      <c r="G665" s="17">
        <v>0</v>
      </c>
      <c r="H665" s="21" t="s">
        <v>18</v>
      </c>
      <c r="J665" s="17">
        <v>63</v>
      </c>
      <c r="K665" s="17">
        <v>18</v>
      </c>
      <c r="L665" t="str">
        <f>IF('63'!$A$174="","",'63'!$A$174)</f>
        <v/>
      </c>
      <c r="M665" t="str">
        <f>IF('63'!$D$174="","",'63'!$D$174)</f>
        <v/>
      </c>
      <c r="N665" t="str">
        <f>IF('63'!$E$153="","",'63'!$E$153)</f>
        <v/>
      </c>
    </row>
    <row r="666" spans="1:14" hidden="1" x14ac:dyDescent="0.3">
      <c r="A666" t="s">
        <v>216</v>
      </c>
      <c r="B666" s="20" t="s">
        <v>375</v>
      </c>
      <c r="D666">
        <v>-2</v>
      </c>
      <c r="E666" s="4" t="str">
        <f>IF(B666='63'!$B$156,"TRUE","")</f>
        <v/>
      </c>
      <c r="F666" s="17">
        <v>15</v>
      </c>
      <c r="G666" s="17">
        <v>1</v>
      </c>
      <c r="H666" s="21" t="s">
        <v>18</v>
      </c>
      <c r="J666" s="17">
        <v>63</v>
      </c>
      <c r="K666" s="17">
        <v>18</v>
      </c>
      <c r="L666" t="str">
        <f>IF('63'!$A$174="","",'63'!$A$174)</f>
        <v/>
      </c>
      <c r="M666" t="str">
        <f>IF('63'!$D$174="","",'63'!$D$174)</f>
        <v/>
      </c>
      <c r="N666" t="str">
        <f>IF('63'!$E$156="","",'63'!$E$156)</f>
        <v/>
      </c>
    </row>
    <row r="667" spans="1:14" hidden="1" x14ac:dyDescent="0.3">
      <c r="A667" t="s">
        <v>216</v>
      </c>
      <c r="B667" s="20" t="s">
        <v>1</v>
      </c>
      <c r="C667" s="11" t="s">
        <v>241</v>
      </c>
      <c r="E667" s="4" t="str">
        <f>IF(C667='63'!$B$157,"TRUE","")</f>
        <v/>
      </c>
      <c r="F667" s="17">
        <v>15</v>
      </c>
      <c r="G667" s="17">
        <v>1</v>
      </c>
      <c r="H667" s="21" t="s">
        <v>18</v>
      </c>
      <c r="J667" s="17">
        <v>63</v>
      </c>
      <c r="K667" s="17">
        <v>18</v>
      </c>
      <c r="L667" t="str">
        <f>IF('63'!$A$174="","",'63'!$A$174)</f>
        <v/>
      </c>
      <c r="M667" t="str">
        <f>IF('63'!$D$174="","",'63'!$D$174)</f>
        <v/>
      </c>
      <c r="N667" t="str">
        <f>IF('63'!$E$156="","",'63'!$E$156)</f>
        <v/>
      </c>
    </row>
    <row r="668" spans="1:14" ht="28.8" hidden="1" x14ac:dyDescent="0.3">
      <c r="A668" t="s">
        <v>216</v>
      </c>
      <c r="B668" s="20" t="s">
        <v>1</v>
      </c>
      <c r="C668" s="12" t="s">
        <v>242</v>
      </c>
      <c r="E668" s="4" t="str">
        <f>IF(C668='63'!$B$157,"TRUE","")</f>
        <v/>
      </c>
      <c r="F668" s="17">
        <v>15</v>
      </c>
      <c r="G668" s="17">
        <v>1</v>
      </c>
      <c r="H668" s="21" t="s">
        <v>18</v>
      </c>
      <c r="J668" s="17">
        <v>63</v>
      </c>
      <c r="K668" s="17">
        <v>18</v>
      </c>
      <c r="L668" t="str">
        <f>IF('63'!$A$174="","",'63'!$A$174)</f>
        <v/>
      </c>
      <c r="M668" t="str">
        <f>IF('63'!$D$174="","",'63'!$D$174)</f>
        <v/>
      </c>
      <c r="N668" t="str">
        <f>IF('63'!$E$156="","",'63'!$E$156)</f>
        <v/>
      </c>
    </row>
    <row r="669" spans="1:14" ht="28.8" hidden="1" x14ac:dyDescent="0.3">
      <c r="A669" t="s">
        <v>216</v>
      </c>
      <c r="B669" s="20" t="s">
        <v>1</v>
      </c>
      <c r="C669" s="12" t="s">
        <v>243</v>
      </c>
      <c r="E669" s="4" t="str">
        <f>IF(C669='63'!$B$157,"TRUE","")</f>
        <v/>
      </c>
      <c r="F669" s="17">
        <v>15</v>
      </c>
      <c r="G669" s="17">
        <v>1</v>
      </c>
      <c r="H669" s="21" t="s">
        <v>18</v>
      </c>
      <c r="J669" s="17">
        <v>63</v>
      </c>
      <c r="K669" s="17">
        <v>18</v>
      </c>
      <c r="L669" t="str">
        <f>IF('63'!$A$174="","",'63'!$A$174)</f>
        <v/>
      </c>
      <c r="M669" t="str">
        <f>IF('63'!$D$174="","",'63'!$D$174)</f>
        <v/>
      </c>
      <c r="N669" t="str">
        <f>IF('63'!$E$156="","",'63'!$E$156)</f>
        <v/>
      </c>
    </row>
    <row r="670" spans="1:14" hidden="1" x14ac:dyDescent="0.3">
      <c r="A670" t="s">
        <v>216</v>
      </c>
      <c r="B670" s="20" t="s">
        <v>1</v>
      </c>
      <c r="C670" s="11" t="s">
        <v>244</v>
      </c>
      <c r="E670" s="4" t="str">
        <f>IF(C670='63'!$B$157,"TRUE","")</f>
        <v/>
      </c>
      <c r="F670" s="17">
        <v>15</v>
      </c>
      <c r="G670" s="17">
        <v>1</v>
      </c>
      <c r="H670" s="21" t="s">
        <v>18</v>
      </c>
      <c r="J670" s="17">
        <v>63</v>
      </c>
      <c r="K670" s="17">
        <v>18</v>
      </c>
      <c r="L670" t="str">
        <f>IF('63'!$A$174="","",'63'!$A$174)</f>
        <v/>
      </c>
      <c r="M670" t="str">
        <f>IF('63'!$D$174="","",'63'!$D$174)</f>
        <v/>
      </c>
      <c r="N670" t="str">
        <f>IF('63'!$E$156="","",'63'!$E$156)</f>
        <v/>
      </c>
    </row>
    <row r="671" spans="1:14" hidden="1" x14ac:dyDescent="0.3">
      <c r="A671" t="s">
        <v>216</v>
      </c>
      <c r="B671" s="20" t="s">
        <v>1</v>
      </c>
      <c r="C671" s="11" t="s">
        <v>245</v>
      </c>
      <c r="E671" s="4" t="str">
        <f>IF(C671='63'!$B$157,"TRUE","")</f>
        <v/>
      </c>
      <c r="F671" s="17">
        <v>15</v>
      </c>
      <c r="G671" s="17">
        <v>1</v>
      </c>
      <c r="H671" s="21" t="s">
        <v>18</v>
      </c>
      <c r="J671" s="17">
        <v>63</v>
      </c>
      <c r="K671" s="17">
        <v>18</v>
      </c>
      <c r="L671" t="str">
        <f>IF('63'!$A$174="","",'63'!$A$174)</f>
        <v/>
      </c>
      <c r="M671" t="str">
        <f>IF('63'!$D$174="","",'63'!$D$174)</f>
        <v/>
      </c>
      <c r="N671" t="str">
        <f>IF('63'!$E$156="","",'63'!$E$156)</f>
        <v/>
      </c>
    </row>
    <row r="672" spans="1:14" hidden="1" x14ac:dyDescent="0.3">
      <c r="A672" t="s">
        <v>217</v>
      </c>
      <c r="B672" s="20" t="s">
        <v>375</v>
      </c>
      <c r="D672">
        <v>-2</v>
      </c>
      <c r="E672" s="4" t="str">
        <f>IF(B672='63'!$B$159,"TRUE","")</f>
        <v/>
      </c>
      <c r="F672" s="17">
        <v>15</v>
      </c>
      <c r="G672" s="17">
        <v>2</v>
      </c>
      <c r="H672" s="21" t="s">
        <v>18</v>
      </c>
      <c r="J672" s="17">
        <v>63</v>
      </c>
      <c r="K672" s="17">
        <v>18</v>
      </c>
      <c r="L672" t="str">
        <f>IF('63'!$A$174="","",'63'!$A$174)</f>
        <v/>
      </c>
      <c r="M672" t="str">
        <f>IF('63'!$D$174="","",'63'!$D$174)</f>
        <v/>
      </c>
      <c r="N672" t="str">
        <f>IF('63'!$E$159="","",'63'!$E$159)</f>
        <v/>
      </c>
    </row>
    <row r="673" spans="1:14" hidden="1" x14ac:dyDescent="0.3">
      <c r="A673" t="s">
        <v>217</v>
      </c>
      <c r="B673" s="20" t="s">
        <v>1</v>
      </c>
      <c r="C673" s="11" t="s">
        <v>246</v>
      </c>
      <c r="E673" s="4" t="str">
        <f>IF(C673='63'!$B$160,"TRUE","")</f>
        <v/>
      </c>
      <c r="F673" s="17">
        <v>15</v>
      </c>
      <c r="G673" s="17">
        <v>2</v>
      </c>
      <c r="H673" s="21" t="s">
        <v>18</v>
      </c>
      <c r="J673" s="17">
        <v>63</v>
      </c>
      <c r="K673" s="17">
        <v>18</v>
      </c>
      <c r="L673" t="str">
        <f>IF('63'!$A$174="","",'63'!$A$174)</f>
        <v/>
      </c>
      <c r="M673" t="str">
        <f>IF('63'!$D$174="","",'63'!$D$174)</f>
        <v/>
      </c>
      <c r="N673" t="str">
        <f>IF('63'!$E$159="","",'63'!$E$159)</f>
        <v/>
      </c>
    </row>
    <row r="674" spans="1:14" hidden="1" x14ac:dyDescent="0.3">
      <c r="A674" t="s">
        <v>217</v>
      </c>
      <c r="B674" s="20" t="s">
        <v>1</v>
      </c>
      <c r="C674" s="11" t="s">
        <v>247</v>
      </c>
      <c r="E674" s="4" t="str">
        <f>IF(C674='63'!$B$160,"TRUE","")</f>
        <v/>
      </c>
      <c r="F674" s="17">
        <v>15</v>
      </c>
      <c r="G674" s="17">
        <v>2</v>
      </c>
      <c r="H674" s="21" t="s">
        <v>18</v>
      </c>
      <c r="J674" s="17">
        <v>63</v>
      </c>
      <c r="K674" s="17">
        <v>18</v>
      </c>
      <c r="L674" t="str">
        <f>IF('63'!$A$174="","",'63'!$A$174)</f>
        <v/>
      </c>
      <c r="M674" t="str">
        <f>IF('63'!$D$174="","",'63'!$D$174)</f>
        <v/>
      </c>
      <c r="N674" t="str">
        <f>IF('63'!$E$159="","",'63'!$E$159)</f>
        <v/>
      </c>
    </row>
    <row r="675" spans="1:14" hidden="1" x14ac:dyDescent="0.3">
      <c r="A675" t="s">
        <v>217</v>
      </c>
      <c r="B675" s="20" t="s">
        <v>1</v>
      </c>
      <c r="C675" s="12" t="s">
        <v>248</v>
      </c>
      <c r="E675" s="4" t="str">
        <f>IF(C675='63'!$B$160,"TRUE","")</f>
        <v/>
      </c>
      <c r="F675" s="17">
        <v>15</v>
      </c>
      <c r="G675" s="17">
        <v>2</v>
      </c>
      <c r="H675" s="21" t="s">
        <v>18</v>
      </c>
      <c r="J675" s="17">
        <v>63</v>
      </c>
      <c r="K675" s="17">
        <v>18</v>
      </c>
      <c r="L675" t="str">
        <f>IF('63'!$A$174="","",'63'!$A$174)</f>
        <v/>
      </c>
      <c r="M675" t="str">
        <f>IF('63'!$D$174="","",'63'!$D$174)</f>
        <v/>
      </c>
      <c r="N675" t="str">
        <f>IF('63'!$E$159="","",'63'!$E$159)</f>
        <v/>
      </c>
    </row>
    <row r="676" spans="1:14" hidden="1" x14ac:dyDescent="0.3">
      <c r="A676" t="s">
        <v>217</v>
      </c>
      <c r="B676" s="20" t="s">
        <v>1</v>
      </c>
      <c r="C676" s="12" t="s">
        <v>249</v>
      </c>
      <c r="E676" s="4" t="str">
        <f>IF(C676='63'!$B$160,"TRUE","")</f>
        <v/>
      </c>
      <c r="F676" s="17">
        <v>15</v>
      </c>
      <c r="G676" s="17">
        <v>2</v>
      </c>
      <c r="H676" s="21" t="s">
        <v>18</v>
      </c>
      <c r="J676" s="17">
        <v>63</v>
      </c>
      <c r="K676" s="17">
        <v>18</v>
      </c>
      <c r="L676" t="str">
        <f>IF('63'!$A$174="","",'63'!$A$174)</f>
        <v/>
      </c>
      <c r="M676" t="str">
        <f>IF('63'!$D$174="","",'63'!$D$174)</f>
        <v/>
      </c>
      <c r="N676" t="str">
        <f>IF('63'!$E$159="","",'63'!$E$159)</f>
        <v/>
      </c>
    </row>
    <row r="677" spans="1:14" hidden="1" x14ac:dyDescent="0.3">
      <c r="A677" t="s">
        <v>217</v>
      </c>
      <c r="B677" s="20" t="s">
        <v>1</v>
      </c>
      <c r="C677" s="12" t="s">
        <v>250</v>
      </c>
      <c r="E677" s="4" t="str">
        <f>IF(C677='63'!$B$160,"TRUE","")</f>
        <v/>
      </c>
      <c r="F677" s="17">
        <v>15</v>
      </c>
      <c r="G677" s="17">
        <v>2</v>
      </c>
      <c r="H677" s="21" t="s">
        <v>18</v>
      </c>
      <c r="J677" s="17">
        <v>63</v>
      </c>
      <c r="K677" s="17">
        <v>18</v>
      </c>
      <c r="L677" t="str">
        <f>IF('63'!$A$174="","",'63'!$A$174)</f>
        <v/>
      </c>
      <c r="M677" t="str">
        <f>IF('63'!$D$174="","",'63'!$D$174)</f>
        <v/>
      </c>
      <c r="N677" t="str">
        <f>IF('63'!$E$159="","",'63'!$E$159)</f>
        <v/>
      </c>
    </row>
    <row r="678" spans="1:14" ht="28.8" hidden="1" x14ac:dyDescent="0.3">
      <c r="A678" t="s">
        <v>217</v>
      </c>
      <c r="B678" s="20" t="s">
        <v>1</v>
      </c>
      <c r="C678" s="12" t="s">
        <v>251</v>
      </c>
      <c r="E678" s="4" t="str">
        <f>IF(C678='63'!$B$160,"TRUE","")</f>
        <v/>
      </c>
      <c r="F678" s="17">
        <v>15</v>
      </c>
      <c r="G678" s="17">
        <v>2</v>
      </c>
      <c r="H678" s="21" t="s">
        <v>18</v>
      </c>
      <c r="J678" s="17">
        <v>63</v>
      </c>
      <c r="K678" s="17">
        <v>18</v>
      </c>
      <c r="L678" t="str">
        <f>IF('63'!$A$174="","",'63'!$A$174)</f>
        <v/>
      </c>
      <c r="M678" t="str">
        <f>IF('63'!$D$174="","",'63'!$D$174)</f>
        <v/>
      </c>
      <c r="N678" t="str">
        <f>IF('63'!$E$159="","",'63'!$E$159)</f>
        <v/>
      </c>
    </row>
    <row r="679" spans="1:14" hidden="1" x14ac:dyDescent="0.3">
      <c r="A679" t="s">
        <v>215</v>
      </c>
      <c r="B679" s="20" t="s">
        <v>375</v>
      </c>
      <c r="D679">
        <v>-2</v>
      </c>
      <c r="E679" s="4" t="str">
        <f>IF(B679='63'!$B$163,"TRUE","")</f>
        <v/>
      </c>
      <c r="F679" s="17">
        <v>16</v>
      </c>
      <c r="G679" s="17">
        <v>0</v>
      </c>
      <c r="H679" s="21" t="s">
        <v>18</v>
      </c>
      <c r="J679" s="17">
        <v>63</v>
      </c>
      <c r="K679" s="17">
        <v>18</v>
      </c>
      <c r="L679" t="str">
        <f>IF('63'!$A$174="","",'63'!$A$174)</f>
        <v/>
      </c>
      <c r="M679" t="str">
        <f>IF('63'!$D$174="","",'63'!$D$174)</f>
        <v/>
      </c>
      <c r="N679" t="str">
        <f>IF('63'!$E$163="","",'63'!$E$163)</f>
        <v/>
      </c>
    </row>
    <row r="680" spans="1:14" hidden="1" x14ac:dyDescent="0.3">
      <c r="A680" t="s">
        <v>215</v>
      </c>
      <c r="B680" s="20" t="s">
        <v>1</v>
      </c>
      <c r="C680" s="11" t="s">
        <v>236</v>
      </c>
      <c r="E680" s="4" t="str">
        <f>IF(C680='63'!$B$164,"TRUE","")</f>
        <v/>
      </c>
      <c r="F680" s="17">
        <v>16</v>
      </c>
      <c r="G680" s="17">
        <v>0</v>
      </c>
      <c r="H680" s="21" t="s">
        <v>18</v>
      </c>
      <c r="J680" s="17">
        <v>63</v>
      </c>
      <c r="K680" s="17">
        <v>18</v>
      </c>
      <c r="L680" t="str">
        <f>IF('63'!$A$174="","",'63'!$A$174)</f>
        <v/>
      </c>
      <c r="M680" t="str">
        <f>IF('63'!$D$174="","",'63'!$D$174)</f>
        <v/>
      </c>
      <c r="N680" t="str">
        <f>IF('63'!$E$163="","",'63'!$E$163)</f>
        <v/>
      </c>
    </row>
    <row r="681" spans="1:14" hidden="1" x14ac:dyDescent="0.3">
      <c r="A681" t="s">
        <v>215</v>
      </c>
      <c r="B681" s="20" t="s">
        <v>1</v>
      </c>
      <c r="C681" s="11" t="s">
        <v>237</v>
      </c>
      <c r="E681" s="4" t="str">
        <f>IF(C681='63'!$B$164,"TRUE","")</f>
        <v/>
      </c>
      <c r="F681" s="17">
        <v>16</v>
      </c>
      <c r="G681" s="17">
        <v>0</v>
      </c>
      <c r="H681" s="21" t="s">
        <v>18</v>
      </c>
      <c r="J681" s="17">
        <v>63</v>
      </c>
      <c r="K681" s="17">
        <v>18</v>
      </c>
      <c r="L681" t="str">
        <f>IF('63'!$A$174="","",'63'!$A$174)</f>
        <v/>
      </c>
      <c r="M681" t="str">
        <f>IF('63'!$D$174="","",'63'!$D$174)</f>
        <v/>
      </c>
      <c r="N681" t="str">
        <f>IF('63'!$E$163="","",'63'!$E$163)</f>
        <v/>
      </c>
    </row>
    <row r="682" spans="1:14" hidden="1" x14ac:dyDescent="0.3">
      <c r="A682" t="s">
        <v>215</v>
      </c>
      <c r="B682" s="20" t="s">
        <v>1</v>
      </c>
      <c r="C682" s="11" t="s">
        <v>238</v>
      </c>
      <c r="E682" s="4" t="str">
        <f>IF(C682='63'!$B$164,"TRUE","")</f>
        <v/>
      </c>
      <c r="F682" s="17">
        <v>16</v>
      </c>
      <c r="G682" s="17">
        <v>0</v>
      </c>
      <c r="H682" s="21" t="s">
        <v>18</v>
      </c>
      <c r="J682" s="17">
        <v>63</v>
      </c>
      <c r="K682" s="17">
        <v>18</v>
      </c>
      <c r="L682" t="str">
        <f>IF('63'!$A$174="","",'63'!$A$174)</f>
        <v/>
      </c>
      <c r="M682" t="str">
        <f>IF('63'!$D$174="","",'63'!$D$174)</f>
        <v/>
      </c>
      <c r="N682" t="str">
        <f>IF('63'!$E$163="","",'63'!$E$163)</f>
        <v/>
      </c>
    </row>
    <row r="683" spans="1:14" hidden="1" x14ac:dyDescent="0.3">
      <c r="A683" t="s">
        <v>215</v>
      </c>
      <c r="B683" s="20" t="s">
        <v>1</v>
      </c>
      <c r="C683" s="11" t="s">
        <v>239</v>
      </c>
      <c r="E683" s="4" t="str">
        <f>IF(C683='63'!$B$164,"TRUE","")</f>
        <v/>
      </c>
      <c r="F683" s="17">
        <v>16</v>
      </c>
      <c r="G683" s="17">
        <v>0</v>
      </c>
      <c r="H683" s="21" t="s">
        <v>18</v>
      </c>
      <c r="J683" s="17">
        <v>63</v>
      </c>
      <c r="K683" s="17">
        <v>18</v>
      </c>
      <c r="L683" t="str">
        <f>IF('63'!$A$174="","",'63'!$A$174)</f>
        <v/>
      </c>
      <c r="M683" t="str">
        <f>IF('63'!$D$174="","",'63'!$D$174)</f>
        <v/>
      </c>
      <c r="N683" t="str">
        <f>IF('63'!$E$163="","",'63'!$E$163)</f>
        <v/>
      </c>
    </row>
    <row r="684" spans="1:14" ht="28.8" hidden="1" x14ac:dyDescent="0.3">
      <c r="A684" t="s">
        <v>215</v>
      </c>
      <c r="B684" s="20" t="s">
        <v>1</v>
      </c>
      <c r="C684" s="12" t="s">
        <v>240</v>
      </c>
      <c r="E684" s="4" t="str">
        <f>IF(C684='63'!$B$164,"TRUE","")</f>
        <v/>
      </c>
      <c r="F684" s="17">
        <v>16</v>
      </c>
      <c r="G684" s="17">
        <v>0</v>
      </c>
      <c r="H684" s="21" t="s">
        <v>18</v>
      </c>
      <c r="J684" s="17">
        <v>63</v>
      </c>
      <c r="K684" s="17">
        <v>18</v>
      </c>
      <c r="L684" t="str">
        <f>IF('63'!$A$174="","",'63'!$A$174)</f>
        <v/>
      </c>
      <c r="M684" t="str">
        <f>IF('63'!$D$174="","",'63'!$D$174)</f>
        <v/>
      </c>
      <c r="N684" t="str">
        <f>IF('63'!$E$163="","",'63'!$E$163)</f>
        <v/>
      </c>
    </row>
    <row r="685" spans="1:14" hidden="1" x14ac:dyDescent="0.3">
      <c r="A685" t="s">
        <v>216</v>
      </c>
      <c r="B685" s="20" t="s">
        <v>375</v>
      </c>
      <c r="D685">
        <v>-2</v>
      </c>
      <c r="E685" s="4" t="str">
        <f>IF(B685='63'!$B$166,"TRUE","")</f>
        <v/>
      </c>
      <c r="F685" s="17">
        <v>16</v>
      </c>
      <c r="G685" s="17">
        <v>1</v>
      </c>
      <c r="H685" s="21" t="s">
        <v>18</v>
      </c>
      <c r="J685" s="17">
        <v>63</v>
      </c>
      <c r="K685" s="17">
        <v>18</v>
      </c>
      <c r="L685" t="str">
        <f>IF('63'!$A$174="","",'63'!$A$174)</f>
        <v/>
      </c>
      <c r="M685" t="str">
        <f>IF('63'!$D$174="","",'63'!$D$174)</f>
        <v/>
      </c>
      <c r="N685" t="str">
        <f>IF('63'!$E$166="","",'63'!$E$166)</f>
        <v/>
      </c>
    </row>
    <row r="686" spans="1:14" hidden="1" x14ac:dyDescent="0.3">
      <c r="A686" t="s">
        <v>216</v>
      </c>
      <c r="B686" s="20" t="s">
        <v>1</v>
      </c>
      <c r="C686" s="11" t="s">
        <v>241</v>
      </c>
      <c r="E686" s="4" t="str">
        <f>IF(C686='63'!$B$167,"TRUE","")</f>
        <v/>
      </c>
      <c r="F686" s="17">
        <v>16</v>
      </c>
      <c r="G686" s="17">
        <v>1</v>
      </c>
      <c r="H686" s="21" t="s">
        <v>18</v>
      </c>
      <c r="J686" s="17">
        <v>63</v>
      </c>
      <c r="K686" s="17">
        <v>18</v>
      </c>
      <c r="L686" t="str">
        <f>IF('63'!$A$174="","",'63'!$A$174)</f>
        <v/>
      </c>
      <c r="M686" t="str">
        <f>IF('63'!$D$174="","",'63'!$D$174)</f>
        <v/>
      </c>
      <c r="N686" t="str">
        <f>IF('63'!$E$166="","",'63'!$E$166)</f>
        <v/>
      </c>
    </row>
    <row r="687" spans="1:14" ht="28.8" hidden="1" x14ac:dyDescent="0.3">
      <c r="A687" t="s">
        <v>216</v>
      </c>
      <c r="B687" s="20" t="s">
        <v>1</v>
      </c>
      <c r="C687" s="12" t="s">
        <v>242</v>
      </c>
      <c r="E687" s="4" t="str">
        <f>IF(C687='63'!$B$167,"TRUE","")</f>
        <v/>
      </c>
      <c r="F687" s="17">
        <v>16</v>
      </c>
      <c r="G687" s="17">
        <v>1</v>
      </c>
      <c r="H687" s="21" t="s">
        <v>18</v>
      </c>
      <c r="J687" s="17">
        <v>63</v>
      </c>
      <c r="K687" s="17">
        <v>18</v>
      </c>
      <c r="L687" t="str">
        <f>IF('63'!$A$174="","",'63'!$A$174)</f>
        <v/>
      </c>
      <c r="M687" t="str">
        <f>IF('63'!$D$174="","",'63'!$D$174)</f>
        <v/>
      </c>
      <c r="N687" t="str">
        <f>IF('63'!$E$166="","",'63'!$E$166)</f>
        <v/>
      </c>
    </row>
    <row r="688" spans="1:14" ht="28.8" hidden="1" x14ac:dyDescent="0.3">
      <c r="A688" t="s">
        <v>216</v>
      </c>
      <c r="B688" s="20" t="s">
        <v>1</v>
      </c>
      <c r="C688" s="12" t="s">
        <v>243</v>
      </c>
      <c r="E688" s="4" t="str">
        <f>IF(C688='63'!$B$167,"TRUE","")</f>
        <v/>
      </c>
      <c r="F688" s="17">
        <v>16</v>
      </c>
      <c r="G688" s="17">
        <v>1</v>
      </c>
      <c r="H688" s="21" t="s">
        <v>18</v>
      </c>
      <c r="J688" s="17">
        <v>63</v>
      </c>
      <c r="K688" s="17">
        <v>18</v>
      </c>
      <c r="L688" t="str">
        <f>IF('63'!$A$174="","",'63'!$A$174)</f>
        <v/>
      </c>
      <c r="M688" t="str">
        <f>IF('63'!$D$174="","",'63'!$D$174)</f>
        <v/>
      </c>
      <c r="N688" t="str">
        <f>IF('63'!$E$166="","",'63'!$E$166)</f>
        <v/>
      </c>
    </row>
    <row r="689" spans="1:14" hidden="1" x14ac:dyDescent="0.3">
      <c r="A689" t="s">
        <v>216</v>
      </c>
      <c r="B689" s="20" t="s">
        <v>1</v>
      </c>
      <c r="C689" s="11" t="s">
        <v>244</v>
      </c>
      <c r="E689" s="4" t="str">
        <f>IF(C689='63'!$B$167,"TRUE","")</f>
        <v/>
      </c>
      <c r="F689" s="17">
        <v>16</v>
      </c>
      <c r="G689" s="17">
        <v>1</v>
      </c>
      <c r="H689" s="21" t="s">
        <v>18</v>
      </c>
      <c r="J689" s="17">
        <v>63</v>
      </c>
      <c r="K689" s="17">
        <v>18</v>
      </c>
      <c r="L689" t="str">
        <f>IF('63'!$A$174="","",'63'!$A$174)</f>
        <v/>
      </c>
      <c r="M689" t="str">
        <f>IF('63'!$D$174="","",'63'!$D$174)</f>
        <v/>
      </c>
      <c r="N689" t="str">
        <f>IF('63'!$E$166="","",'63'!$E$166)</f>
        <v/>
      </c>
    </row>
    <row r="690" spans="1:14" hidden="1" x14ac:dyDescent="0.3">
      <c r="A690" t="s">
        <v>216</v>
      </c>
      <c r="B690" s="20" t="s">
        <v>1</v>
      </c>
      <c r="C690" s="11" t="s">
        <v>245</v>
      </c>
      <c r="E690" s="4" t="str">
        <f>IF(C690='63'!$B$167,"TRUE","")</f>
        <v/>
      </c>
      <c r="F690" s="17">
        <v>16</v>
      </c>
      <c r="G690" s="17">
        <v>1</v>
      </c>
      <c r="H690" s="21" t="s">
        <v>18</v>
      </c>
      <c r="J690" s="17">
        <v>63</v>
      </c>
      <c r="K690" s="17">
        <v>18</v>
      </c>
      <c r="L690" t="str">
        <f>IF('63'!$A$174="","",'63'!$A$174)</f>
        <v/>
      </c>
      <c r="M690" t="str">
        <f>IF('63'!$D$174="","",'63'!$D$174)</f>
        <v/>
      </c>
      <c r="N690" t="str">
        <f>IF('63'!$E$166="","",'63'!$E$166)</f>
        <v/>
      </c>
    </row>
    <row r="691" spans="1:14" hidden="1" x14ac:dyDescent="0.3">
      <c r="A691" t="s">
        <v>217</v>
      </c>
      <c r="B691" s="20" t="s">
        <v>375</v>
      </c>
      <c r="D691">
        <v>-2</v>
      </c>
      <c r="E691" s="4" t="str">
        <f>IF(B691='63'!$B$169,"TRUE","")</f>
        <v/>
      </c>
      <c r="F691" s="17">
        <v>16</v>
      </c>
      <c r="G691" s="17">
        <v>2</v>
      </c>
      <c r="H691" s="21" t="s">
        <v>18</v>
      </c>
      <c r="J691" s="17">
        <v>63</v>
      </c>
      <c r="K691" s="17">
        <v>18</v>
      </c>
      <c r="L691" t="str">
        <f>IF('63'!$A$174="","",'63'!$A$174)</f>
        <v/>
      </c>
      <c r="M691" t="str">
        <f>IF('63'!$D$174="","",'63'!$D$174)</f>
        <v/>
      </c>
      <c r="N691" t="str">
        <f>IF('63'!$E$169="","",'63'!$E$169)</f>
        <v/>
      </c>
    </row>
    <row r="692" spans="1:14" hidden="1" x14ac:dyDescent="0.3">
      <c r="A692" t="s">
        <v>217</v>
      </c>
      <c r="B692" s="20" t="s">
        <v>1</v>
      </c>
      <c r="C692" s="11" t="s">
        <v>246</v>
      </c>
      <c r="E692" s="4" t="str">
        <f>IF(C692='63'!$B$170,"TRUE","")</f>
        <v/>
      </c>
      <c r="F692" s="17">
        <v>16</v>
      </c>
      <c r="G692" s="17">
        <v>2</v>
      </c>
      <c r="H692" s="21" t="s">
        <v>18</v>
      </c>
      <c r="J692" s="17">
        <v>63</v>
      </c>
      <c r="K692" s="17">
        <v>18</v>
      </c>
      <c r="L692" t="str">
        <f>IF('63'!$A$174="","",'63'!$A$174)</f>
        <v/>
      </c>
      <c r="M692" t="str">
        <f>IF('63'!$D$174="","",'63'!$D$174)</f>
        <v/>
      </c>
      <c r="N692" t="str">
        <f>IF('63'!$E$169="","",'63'!$E$169)</f>
        <v/>
      </c>
    </row>
    <row r="693" spans="1:14" hidden="1" x14ac:dyDescent="0.3">
      <c r="A693" t="s">
        <v>217</v>
      </c>
      <c r="B693" s="20" t="s">
        <v>1</v>
      </c>
      <c r="C693" s="11" t="s">
        <v>247</v>
      </c>
      <c r="E693" s="4" t="str">
        <f>IF(C693='63'!$B$170,"TRUE","")</f>
        <v/>
      </c>
      <c r="F693" s="17">
        <v>16</v>
      </c>
      <c r="G693" s="17">
        <v>2</v>
      </c>
      <c r="H693" s="21" t="s">
        <v>18</v>
      </c>
      <c r="J693" s="17">
        <v>63</v>
      </c>
      <c r="K693" s="17">
        <v>18</v>
      </c>
      <c r="L693" t="str">
        <f>IF('63'!$A$174="","",'63'!$A$174)</f>
        <v/>
      </c>
      <c r="M693" t="str">
        <f>IF('63'!$D$174="","",'63'!$D$174)</f>
        <v/>
      </c>
      <c r="N693" t="str">
        <f>IF('63'!$E$169="","",'63'!$E$169)</f>
        <v/>
      </c>
    </row>
    <row r="694" spans="1:14" hidden="1" x14ac:dyDescent="0.3">
      <c r="A694" t="s">
        <v>217</v>
      </c>
      <c r="B694" s="20" t="s">
        <v>1</v>
      </c>
      <c r="C694" s="12" t="s">
        <v>248</v>
      </c>
      <c r="E694" s="4" t="str">
        <f>IF(C694='63'!$B$170,"TRUE","")</f>
        <v/>
      </c>
      <c r="F694" s="17">
        <v>16</v>
      </c>
      <c r="G694" s="17">
        <v>2</v>
      </c>
      <c r="H694" s="21" t="s">
        <v>18</v>
      </c>
      <c r="J694" s="17">
        <v>63</v>
      </c>
      <c r="K694" s="17">
        <v>18</v>
      </c>
      <c r="L694" t="str">
        <f>IF('63'!$A$174="","",'63'!$A$174)</f>
        <v/>
      </c>
      <c r="M694" t="str">
        <f>IF('63'!$D$174="","",'63'!$D$174)</f>
        <v/>
      </c>
      <c r="N694" t="str">
        <f>IF('63'!$E$169="","",'63'!$E$169)</f>
        <v/>
      </c>
    </row>
    <row r="695" spans="1:14" hidden="1" x14ac:dyDescent="0.3">
      <c r="A695" t="s">
        <v>217</v>
      </c>
      <c r="B695" s="20" t="s">
        <v>1</v>
      </c>
      <c r="C695" s="12" t="s">
        <v>249</v>
      </c>
      <c r="E695" s="4" t="str">
        <f>IF(C695='63'!$B$170,"TRUE","")</f>
        <v/>
      </c>
      <c r="F695" s="17">
        <v>16</v>
      </c>
      <c r="G695" s="17">
        <v>2</v>
      </c>
      <c r="H695" s="21" t="s">
        <v>18</v>
      </c>
      <c r="J695" s="17">
        <v>63</v>
      </c>
      <c r="K695" s="17">
        <v>18</v>
      </c>
      <c r="L695" t="str">
        <f>IF('63'!$A$174="","",'63'!$A$174)</f>
        <v/>
      </c>
      <c r="M695" t="str">
        <f>IF('63'!$D$174="","",'63'!$D$174)</f>
        <v/>
      </c>
      <c r="N695" t="str">
        <f>IF('63'!$E$169="","",'63'!$E$169)</f>
        <v/>
      </c>
    </row>
    <row r="696" spans="1:14" hidden="1" x14ac:dyDescent="0.3">
      <c r="A696" t="s">
        <v>217</v>
      </c>
      <c r="B696" s="20" t="s">
        <v>1</v>
      </c>
      <c r="C696" s="12" t="s">
        <v>250</v>
      </c>
      <c r="E696" s="4" t="str">
        <f>IF(C696='63'!$B$170,"TRUE","")</f>
        <v/>
      </c>
      <c r="F696" s="17">
        <v>16</v>
      </c>
      <c r="G696" s="17">
        <v>2</v>
      </c>
      <c r="H696" s="21" t="s">
        <v>18</v>
      </c>
      <c r="J696" s="17">
        <v>63</v>
      </c>
      <c r="K696" s="17">
        <v>18</v>
      </c>
      <c r="L696" t="str">
        <f>IF('63'!$A$174="","",'63'!$A$174)</f>
        <v/>
      </c>
      <c r="M696" t="str">
        <f>IF('63'!$D$174="","",'63'!$D$174)</f>
        <v/>
      </c>
      <c r="N696" t="str">
        <f>IF('63'!$E$169="","",'63'!$E$169)</f>
        <v/>
      </c>
    </row>
    <row r="697" spans="1:14" ht="28.8" hidden="1" x14ac:dyDescent="0.3">
      <c r="A697" t="s">
        <v>217</v>
      </c>
      <c r="B697" s="20" t="s">
        <v>1</v>
      </c>
      <c r="C697" s="12" t="s">
        <v>251</v>
      </c>
      <c r="E697" s="4" t="str">
        <f>IF(C697='63'!$B$170,"TRUE","")</f>
        <v/>
      </c>
      <c r="F697" s="17">
        <v>16</v>
      </c>
      <c r="G697" s="17">
        <v>2</v>
      </c>
      <c r="H697" s="21" t="s">
        <v>18</v>
      </c>
      <c r="J697" s="17">
        <v>63</v>
      </c>
      <c r="K697" s="17">
        <v>18</v>
      </c>
      <c r="L697" t="str">
        <f>IF('63'!$A$174="","",'63'!$A$174)</f>
        <v/>
      </c>
      <c r="M697" t="str">
        <f>IF('63'!$D$174="","",'63'!$D$174)</f>
        <v/>
      </c>
      <c r="N697" t="str">
        <f>IF('63'!$E$169="","",'63'!$E$169)</f>
        <v/>
      </c>
    </row>
    <row r="698" spans="1:14" hidden="1" x14ac:dyDescent="0.3">
      <c r="A698" t="s">
        <v>336</v>
      </c>
      <c r="B698" s="21" t="s">
        <v>1</v>
      </c>
      <c r="C698" t="s">
        <v>113</v>
      </c>
      <c r="F698" s="35">
        <v>0</v>
      </c>
      <c r="G698" s="35">
        <v>3</v>
      </c>
      <c r="H698" s="21" t="s">
        <v>16</v>
      </c>
      <c r="I698" s="21"/>
      <c r="J698" s="34">
        <v>41</v>
      </c>
      <c r="K698" s="34">
        <v>6</v>
      </c>
      <c r="L698" t="str">
        <f>IF('41'!$A$20="","",'41'!$A$20)</f>
        <v/>
      </c>
      <c r="M698" t="str">
        <f>IF('41'!$D$20="","",'41'!$D$20)</f>
        <v/>
      </c>
      <c r="N698" t="str">
        <f>IF('41'!$E$13="","",'41'!$E$13)</f>
        <v/>
      </c>
    </row>
  </sheetData>
  <autoFilter ref="A1:N698" xr:uid="{3C1F4597-FC10-4C29-875A-3F4814C346AA}">
    <filterColumn colId="9">
      <filters>
        <filter val="38"/>
      </filters>
    </filterColumn>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0AB9FAFFCB4E468446BA2BD84DAF7C" ma:contentTypeVersion="2" ma:contentTypeDescription="Create a new document." ma:contentTypeScope="" ma:versionID="7c9bd8aee672cb2c366b96bab9ab5d75">
  <xsd:schema xmlns:xsd="http://www.w3.org/2001/XMLSchema" xmlns:xs="http://www.w3.org/2001/XMLSchema" xmlns:p="http://schemas.microsoft.com/office/2006/metadata/properties" xmlns:ns2="f828137e-3d1e-440e-8e52-aedce56b611c" targetNamespace="http://schemas.microsoft.com/office/2006/metadata/properties" ma:root="true" ma:fieldsID="16c7c43ee5f295e3df5309d4f59c5ea3" ns2:_="">
    <xsd:import namespace="f828137e-3d1e-440e-8e52-aedce56b611c"/>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28137e-3d1e-440e-8e52-aedce56b611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FCB18B-934A-4DF9-8B89-85EEE588360C}">
  <ds:schemaRefs>
    <ds:schemaRef ds:uri="http://schemas.microsoft.com/office/2006/documentManagement/types"/>
    <ds:schemaRef ds:uri="http://purl.org/dc/terms/"/>
    <ds:schemaRef ds:uri="http://purl.org/dc/dcmitype/"/>
    <ds:schemaRef ds:uri="http://purl.org/dc/elements/1.1/"/>
    <ds:schemaRef ds:uri="http://www.w3.org/XML/1998/namespace"/>
    <ds:schemaRef ds:uri="http://schemas.openxmlformats.org/package/2006/metadata/core-properties"/>
    <ds:schemaRef ds:uri="http://schemas.microsoft.com/office/infopath/2007/PartnerControls"/>
    <ds:schemaRef ds:uri="f828137e-3d1e-440e-8e52-aedce56b611c"/>
    <ds:schemaRef ds:uri="http://schemas.microsoft.com/office/2006/metadata/properties"/>
  </ds:schemaRefs>
</ds:datastoreItem>
</file>

<file path=customXml/itemProps2.xml><?xml version="1.0" encoding="utf-8"?>
<ds:datastoreItem xmlns:ds="http://schemas.openxmlformats.org/officeDocument/2006/customXml" ds:itemID="{AE4CF644-C6DA-459F-BC59-86574328BE51}">
  <ds:schemaRefs>
    <ds:schemaRef ds:uri="http://schemas.microsoft.com/sharepoint/v3/contenttype/forms"/>
  </ds:schemaRefs>
</ds:datastoreItem>
</file>

<file path=customXml/itemProps3.xml><?xml version="1.0" encoding="utf-8"?>
<ds:datastoreItem xmlns:ds="http://schemas.openxmlformats.org/officeDocument/2006/customXml" ds:itemID="{21980ABD-3628-4161-86C7-1D711C5D71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28137e-3d1e-440e-8e52-aedce56b61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Info</vt:lpstr>
      <vt:lpstr>General Info</vt:lpstr>
      <vt:lpstr>10</vt:lpstr>
      <vt:lpstr>12</vt:lpstr>
      <vt:lpstr>38</vt:lpstr>
      <vt:lpstr>38-ranges</vt:lpstr>
      <vt:lpstr>39</vt:lpstr>
      <vt:lpstr>40</vt:lpstr>
      <vt:lpstr>41</vt:lpstr>
      <vt:lpstr>41-ranges</vt:lpstr>
      <vt:lpstr>42</vt:lpstr>
      <vt:lpstr>43</vt:lpstr>
      <vt:lpstr>43-ranges</vt:lpstr>
      <vt:lpstr>44</vt:lpstr>
      <vt:lpstr>46</vt:lpstr>
      <vt:lpstr>46-ranges</vt:lpstr>
      <vt:lpstr>44-range</vt:lpstr>
      <vt:lpstr>53</vt:lpstr>
      <vt:lpstr>53-ranges</vt:lpstr>
      <vt:lpstr>54</vt:lpstr>
      <vt:lpstr>54-ranges</vt:lpstr>
      <vt:lpstr>55</vt:lpstr>
      <vt:lpstr>56</vt:lpstr>
      <vt:lpstr>58</vt:lpstr>
      <vt:lpstr>59</vt:lpstr>
      <vt:lpstr>60</vt:lpstr>
      <vt:lpstr>63</vt:lpstr>
      <vt:lpstr>63-ranges</vt:lpstr>
      <vt:lpstr>65</vt:lpstr>
      <vt:lpstr>66</vt:lpstr>
      <vt:lpstr>67</vt:lpstr>
      <vt:lpstr>68</vt:lpstr>
      <vt:lpstr>69</vt:lpstr>
      <vt:lpstr>60-ranges</vt:lpstr>
      <vt:lpstr>69-ranges</vt:lpstr>
      <vt:lpstr>68-ranges</vt:lpstr>
      <vt:lpstr>70</vt:lpstr>
      <vt:lpstr>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Petrina Troulitaki</dc:creator>
  <cp:keywords/>
  <dc:description/>
  <cp:lastModifiedBy>Eleni Tsekmezoglou</cp:lastModifiedBy>
  <cp:revision/>
  <dcterms:created xsi:type="dcterms:W3CDTF">2022-09-26T12:28:56Z</dcterms:created>
  <dcterms:modified xsi:type="dcterms:W3CDTF">2023-12-14T12:22:06Z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0x010100A20AB9FAFFCB4E468446BA2BD84DAF7C</vt:lpwstr>
  </property>
  <property fmtid="{D5CDD505-2E9C-101B-9397-08002B2CF9AE}" pid="3" name="MediaServiceImageTags">
    <vt:lpwstr/>
  </property>
</Properties>
</file>